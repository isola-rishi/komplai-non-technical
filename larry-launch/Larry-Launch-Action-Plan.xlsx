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Action Plan" sheetId="1" state="visible" r:id="rId3"/>
    <sheet name="Dashboard" sheetId="2" state="visible" r:id="rId4"/>
    <sheet name="Budget" sheetId="3" state="visible" r:id="rId5"/>
  </sheets>
  <definedNames>
    <definedName function="false" hidden="true" localSheetId="0" name="_xlnm._FilterDatabase" vbProcedure="false">'Master Action Plan'!$A$4:$N$4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<sst xmlns="http://schemas.openxmlformats.org/spreadsheetml/2006/main" count="909" uniqueCount="471">
  <si>
    <t xml:space="preserve">KOMPLAI | PROJECT HAIL MARY — MASTER ACTION PLAN</t>
  </si>
  <si>
    <t xml:space="preserve">Larry Self-Serve Launch | Feb 17 – Sep 30, 2026 | Owners: Rishi (GTM/Strategy), Anirudh (Product/Engineering)</t>
  </si>
  <si>
    <t xml:space="preserve">ID</t>
  </si>
  <si>
    <t xml:space="preserve">Phase</t>
  </si>
  <si>
    <t xml:space="preserve">Category</t>
  </si>
  <si>
    <t xml:space="preserve">Task</t>
  </si>
  <si>
    <t xml:space="preserve">Sub-tasks / Details</t>
  </si>
  <si>
    <t xml:space="preserve">Owner</t>
  </si>
  <si>
    <t xml:space="preserve">Priority</t>
  </si>
  <si>
    <t xml:space="preserve">Dependency</t>
  </si>
  <si>
    <t xml:space="preserve">Start Date</t>
  </si>
  <si>
    <t xml:space="preserve">End Date</t>
  </si>
  <si>
    <t xml:space="preserve">Days</t>
  </si>
  <si>
    <t xml:space="preserve">Status</t>
  </si>
  <si>
    <t xml:space="preserve">Success Metric</t>
  </si>
  <si>
    <t xml:space="preserve">Notes / Risk</t>
  </si>
  <si>
    <t xml:space="preserve">WEEK 1: Feb 17-21 — Foundation Sprint</t>
  </si>
  <si>
    <t xml:space="preserve">Phase 0: Pre-Launch</t>
  </si>
  <si>
    <t xml:space="preserve">Product</t>
  </si>
  <si>
    <t xml:space="preserve">Self-serve onboarding flow: end-to-end audit</t>
  </si>
  <si>
    <t xml:space="preserve">Map every screen from signup → ERP connect → first Larry insight. Document every click, every load time, every error state. Record screen captures of the full flow for all 4 ERPs (Zoho, QBO, ERPNext, Xero).</t>
  </si>
  <si>
    <t xml:space="preserve">Anirudh</t>
  </si>
  <si>
    <t xml:space="preserve">P0 - Critical</t>
  </si>
  <si>
    <t xml:space="preserve">None</t>
  </si>
  <si>
    <t xml:space="preserve">2026-02-17</t>
  </si>
  <si>
    <t xml:space="preserve">2026-02-19</t>
  </si>
  <si>
    <t xml:space="preserve">Not Started</t>
  </si>
  <si>
    <t xml:space="preserve">Full flow documented with screenshots for all 4 ERPs</t>
  </si>
  <si>
    <t xml:space="preserve">This is THE most important task. Nothing else matters if onboarding is broken.</t>
  </si>
  <si>
    <t xml:space="preserve">Build pre-populated first queries for Larry</t>
  </si>
  <si>
    <t xml:space="preserve">After ERP sync, Larry should suggest 3-5 data-specific queries (not generic). If user has overdue receivables → suggest aging analysis. If burn spiked → suggest burn analysis. Requires conditional logic based on synced data.</t>
  </si>
  <si>
    <t xml:space="preserve">Onboarding audit complete</t>
  </si>
  <si>
    <t xml:space="preserve">2026-02-28</t>
  </si>
  <si>
    <t xml:space="preserve">Larry suggests personalized queries within 60 seconds of ERP sync</t>
  </si>
  <si>
    <t xml:space="preserve">The difference between 'ask Larry anything' and 'Larry already found something' is the difference between activation and abandonment.</t>
  </si>
  <si>
    <t xml:space="preserve">Build 'wow moment' automated email</t>
  </si>
  <si>
    <t xml:space="preserve">Triggered 15-30 min after ERP sync completes. Email must contain 2-3 REAL insights from the user's actual data. E.g., 'Larry found $47K in receivables over 90 days across 10 invoices.' Requires email template + dynamic data pipeline.</t>
  </si>
  <si>
    <t xml:space="preserve">Pre-populated queries built</t>
  </si>
  <si>
    <t xml:space="preserve">2026-02-24</t>
  </si>
  <si>
    <t xml:space="preserve">2026-03-05</t>
  </si>
  <si>
    <t xml:space="preserve">Email sends within 30 min of ERP sync with real data points</t>
  </si>
  <si>
    <t xml:space="preserve">This email is the single most important piece of marketing you will produce.</t>
  </si>
  <si>
    <t xml:space="preserve">Build guided product walkthrough (3-step tour)</t>
  </si>
  <si>
    <t xml:space="preserve">Interactive overlay (not video): Step 1 → first query, Step 2 → first chart, Step 3 → attempt download (gates on Scaling tier). Must complete in under 2 minutes. Use product tour library (e.g., Shepherd.js or similar).</t>
  </si>
  <si>
    <t xml:space="preserve">P1 - High</t>
  </si>
  <si>
    <t xml:space="preserve">2026-02-20</t>
  </si>
  <si>
    <t xml:space="preserve">2026-03-03</t>
  </si>
  <si>
    <t xml:space="preserve">Tour completion rate &gt;60% of new users</t>
  </si>
  <si>
    <t xml:space="preserve">Keep it short. 3 steps max. Users who complete onboarding tours convert 2-3x better.</t>
  </si>
  <si>
    <t xml:space="preserve">Build error handling for ERP sync failures</t>
  </si>
  <si>
    <t xml:space="preserve">Specific error states for: OAuth failure, timeout, partial data sync, unsupported ERP version. Each error must show: what went wrong, how to fix it, and a path to retry or get help. No generic error pages.</t>
  </si>
  <si>
    <t xml:space="preserve">2026-02-26</t>
  </si>
  <si>
    <t xml:space="preserve">Zero generic 'something went wrong' screens</t>
  </si>
  <si>
    <t xml:space="preserve">A failed ERP connection with no recovery path = permanent user loss.</t>
  </si>
  <si>
    <t xml:space="preserve">Instrument full funnel tracking (10 events)</t>
  </si>
  <si>
    <t xml:space="preserve">Track: website visit, signup initiated, signup completed, ERP connection started, ERP connection completed, first Larry query, first chart generated, upgrade prompt shown, upgrade initiated, upgrade completed. Use Mixpanel/Amplitude + Segment.</t>
  </si>
  <si>
    <t xml:space="preserve">All 10 events firing correctly in analytics dashboard</t>
  </si>
  <si>
    <t xml:space="preserve">You cannot optimize what you do not measure. Non-negotiable before launch.</t>
  </si>
  <si>
    <t xml:space="preserve">Instrument engagement metrics</t>
  </si>
  <si>
    <t xml:space="preserve">Track: questions per session, questions per day, return rate (Day 1, 3, 7), feature usage (Analyze vs Explain vs Search vs Identify), Close Tracker views.</t>
  </si>
  <si>
    <t xml:space="preserve">Funnel tracking complete</t>
  </si>
  <si>
    <t xml:space="preserve">Engagement dashboard live with daily refresh</t>
  </si>
  <si>
    <t xml:space="preserve">Engagement data drives every decision in May.</t>
  </si>
  <si>
    <t xml:space="preserve">Build sales handoff trigger notifications</t>
  </si>
  <si>
    <t xml:space="preserve">5 triggers auto-notify sales (Rishi initially): (1) User hits 10-question daily limit, (2) User asks about multi-entity, (3) Close Tracker shows bottlenecks, (4) Company matches ICP (Series B+, 10+ team), (5) User asks about Book Close. Slack/email notification with user context.</t>
  </si>
  <si>
    <t xml:space="preserve">Engagement metrics built</t>
  </si>
  <si>
    <t xml:space="preserve">2026-03-07</t>
  </si>
  <si>
    <t xml:space="preserve">All 5 triggers tested and firing correctly</t>
  </si>
  <si>
    <t xml:space="preserve">Leads without a sales process are wasted. This bridges product to revenue.</t>
  </si>
  <si>
    <t xml:space="preserve">Build in-product upgrade prompts + flow</t>
  </si>
  <si>
    <t xml:space="preserve">When users hit free tier limits (10 questions/day, no downloads, 7-day history), show contextual upgrade modal: what they unlock, price, 1-click upgrade. No redirect to external pricing page. Upgrade must happen in context.</t>
  </si>
  <si>
    <t xml:space="preserve">Upgrade flow &lt;3 clicks from limit hit to payment confirmed</t>
  </si>
  <si>
    <t xml:space="preserve">Ambiguity kills self-serve conversion. Make it frictionless.</t>
  </si>
  <si>
    <t xml:space="preserve">Implement geo-based pricing display</t>
  </si>
  <si>
    <t xml:space="preserve">Auto-detect user geography. Show $199/mo for US, $99/mo for India. Never show both prices on same screen. Annual toggle: $199/mo or $1,990/year (2 months free).</t>
  </si>
  <si>
    <t xml:space="preserve">P2 - Medium</t>
  </si>
  <si>
    <t xml:space="preserve">Upgrade flow built</t>
  </si>
  <si>
    <t xml:space="preserve">2026-03-12</t>
  </si>
  <si>
    <t xml:space="preserve">Correct pricing shown based on geo for 10 test locations</t>
  </si>
  <si>
    <t xml:space="preserve">Showing both prices creates confusion and arbitrage.</t>
  </si>
  <si>
    <t xml:space="preserve">Load test all 4 ERP integrations</t>
  </si>
  <si>
    <t xml:space="preserve">Simulate 100+ concurrent ERP connections across Zoho, QBO, ERPNext, Xero. Test: connection time, data sync time, data completeness, error rates. Fix anything that takes &gt;30 min.</t>
  </si>
  <si>
    <t xml:space="preserve">2026-03-17</t>
  </si>
  <si>
    <t xml:space="preserve">2026-03-24</t>
  </si>
  <si>
    <t xml:space="preserve">All 4 ERPs sync &lt;30 min with &lt;5% error rate at 100 concurrent users</t>
  </si>
  <si>
    <t xml:space="preserve">If this fails at scale on April 1, nothing else matters.</t>
  </si>
  <si>
    <t xml:space="preserve">Quality-test Larry against 50 real datasets</t>
  </si>
  <si>
    <t xml:space="preserve">Run Larry against 50 different ERP data exports. Check: accuracy of insights, appropriateness of suggestions, handling of edge cases (empty data, partial data, unusual COA structures). Document failures.</t>
  </si>
  <si>
    <t xml:space="preserve">2026-03-10</t>
  </si>
  <si>
    <t xml:space="preserve">Larry produces accurate answers for &gt;90% of test queries</t>
  </si>
  <si>
    <t xml:space="preserve">Larry giving wrong/misleading answers = trust destroyed permanently.</t>
  </si>
  <si>
    <t xml:space="preserve">Build Close Tracker basic progress view (Starter tier)</t>
  </si>
  <si>
    <t xml:space="preserve">Minimal viable Close Tracker: show % of transactions reconciled, # journal entries posted, visual progress bar. No timeline predictions (Scaling+ only). Position as 'Larry observes your close.'</t>
  </si>
  <si>
    <t xml:space="preserve">2026-03-14</t>
  </si>
  <si>
    <t xml:space="preserve">Close Tracker shows accurate progress for test accounts</t>
  </si>
  <si>
    <t xml:space="preserve">This is the wedge into paid. It must work at launch.</t>
  </si>
  <si>
    <t xml:space="preserve">Final QA: 10 test users complete full flow</t>
  </si>
  <si>
    <t xml:space="preserve">Recruit 10 people (mix of internal + friendly external). Each must: sign up, connect ERP, ask Larry questions, view Close Tracker, attempt download (hit paywall), complete upgrade. Document every friction point.</t>
  </si>
  <si>
    <t xml:space="preserve">All product tasks above</t>
  </si>
  <si>
    <t xml:space="preserve">2026-03-28</t>
  </si>
  <si>
    <t xml:space="preserve">10/10 users complete flow with zero critical bugs</t>
  </si>
  <si>
    <t xml:space="preserve">Ship-blocking. If this fails, delay launch.</t>
  </si>
  <si>
    <t xml:space="preserve">WEEK 1-2: Feb 17-28 — GTM Foundation</t>
  </si>
  <si>
    <t xml:space="preserve">Marketing</t>
  </si>
  <si>
    <t xml:space="preserve">Rewrite top 20 SEO article titles + meta descriptions</t>
  </si>
  <si>
    <t xml:space="preserve">Sort existing blog articles by impressions (Google Search Console). Take top 20. Rewrite titles using benefit+timeframe formula: 'Cut Month-End Close from 10 Days to 3: [Topic] Guide [2026].' Update meta descriptions with result + proof + emotion formula.</t>
  </si>
  <si>
    <t xml:space="preserve">Rishi</t>
  </si>
  <si>
    <t xml:space="preserve">2026-02-21</t>
  </si>
  <si>
    <t xml:space="preserve">20 articles updated; CTR improvement tracked weekly</t>
  </si>
  <si>
    <t xml:space="preserve">Your articles rank but don't get clicks. This is the highest-ROI marketing activity right now.</t>
  </si>
  <si>
    <t xml:space="preserve">LinkedIn posts: Weeks 3-4 of content plan</t>
  </si>
  <si>
    <t xml:space="preserve">Continue 3x/week cadence. Posts 7-12 per the content plan: Maker-Checker Framework, One-Person Finance Team Org Chart, Data Entry Waste Calculator, Stale Data Warning System, Institutional Memory, 30-Min Integration Checklist.</t>
  </si>
  <si>
    <t xml:space="preserve">6 posts published, engagement rate tracked</t>
  </si>
  <si>
    <t xml:space="preserve">Protect this time ruthlessly. LinkedIn organic is your #1 channel.</t>
  </si>
  <si>
    <t xml:space="preserve">Sales</t>
  </si>
  <si>
    <t xml:space="preserve">Draft sales handoff email templates (5 triggers)</t>
  </si>
  <si>
    <t xml:space="preserve">Write personalized outreach templates for each of the 5 sales triggers. Each must reference the user's actual Larry usage. E.g., for question-limit trigger: 'I noticed you've been asking Larry about [X]. Companies like yours typically save [Y] hours with our full platform.'</t>
  </si>
  <si>
    <t xml:space="preserve">5 templates drafted and ready for trigger integration</t>
  </si>
  <si>
    <t xml:space="preserve">When a trigger fires, there must be zero delay in knowing what to say.</t>
  </si>
  <si>
    <t xml:space="preserve">Reach out to 10 finance influencers/newsletter operators</t>
  </si>
  <si>
    <t xml:space="preserve">Identify 10 people: finance LinkedIn creators, accounting newsletter authors, CFO community leaders. Send personal DM offering early Larry access on their own books. Ask for honest reaction, not a testimonial. Target: 5+ accept.</t>
  </si>
  <si>
    <t xml:space="preserve">5+ influencers confirmed for early access</t>
  </si>
  <si>
    <t xml:space="preserve">Authentic reactions from real finance professionals &gt; any ad spend.</t>
  </si>
  <si>
    <t xml:space="preserve">Set up Google AdWords campaigns (do NOT activate yet)</t>
  </si>
  <si>
    <t xml:space="preserve">Create campaigns: (1) Branded: 'Komplai,' 'Larry AI finance.' (2) Long-tail: 'MIS automation,' 'AI finance assistant,' 'why does month end close take so long.' (3) Competitor: 'Numeric alternatives,' 'FloQast alternative for startups.' Create ad copy + landing pages for each.</t>
  </si>
  <si>
    <t xml:space="preserve">3 campaign groups ready with ads + landing pages</t>
  </si>
  <si>
    <t xml:space="preserve">Do NOT bid on expensive category terms ($20-40/click). Only long-tail and branded.</t>
  </si>
  <si>
    <t xml:space="preserve">Build comparison landing pages (3 pages)</t>
  </si>
  <si>
    <t xml:space="preserve">Create: Komplai vs Numeric, Komplai vs FloQast, Komplai vs BlackLine. Use competitive intel from your docs. Honest comparison: where you win, where they win. CTA: 'Try Larry free and see for yourself.'</t>
  </si>
  <si>
    <t xml:space="preserve">Google AdWords setup</t>
  </si>
  <si>
    <t xml:space="preserve">3 landing pages live with tracked conversion events</t>
  </si>
  <si>
    <t xml:space="preserve">These catch bottom-funnel traffic from competitor search queries.</t>
  </si>
  <si>
    <t xml:space="preserve">Install LinkedIn retargeting pixel on website</t>
  </si>
  <si>
    <t xml:space="preserve">Install LinkedIn Insight Tag. Define audience: CFO, Controller, Finance Director, VP Finance job titles. Build retargeting audience from website visitors. Do NOT activate ads yet.</t>
  </si>
  <si>
    <t xml:space="preserve">Pixel installed, audience accumulating</t>
  </si>
  <si>
    <t xml:space="preserve">Start building the audience NOW. You need 300+ in the pool before retargeting works.</t>
  </si>
  <si>
    <t xml:space="preserve">Hiring</t>
  </si>
  <si>
    <t xml:space="preserve">Hire/contract marketing ops person</t>
  </si>
  <si>
    <t xml:space="preserve">Find a part-time marketing ops contractor ($2-3K/month): manage ad campaigns, schedule social posts, set up email sequences, handle initial support tickets. Source from Upwork, LinkedIn, or your network. Must start by March 10.</t>
  </si>
  <si>
    <t xml:space="preserve">Contractor onboarded and managing ad + email ops</t>
  </si>
  <si>
    <t xml:space="preserve">You CANNOT be CEO, PM, marketer, salesperson, and support agent simultaneously during launch. This is the #1 operational risk.</t>
  </si>
  <si>
    <t xml:space="preserve">WEEKS 3-4: Mar 1-14 — Build &amp; Test</t>
  </si>
  <si>
    <t xml:space="preserve">LinkedIn posts: Weeks 5-6 of content plan</t>
  </si>
  <si>
    <t xml:space="preserve">Posts 13-18: Instant Answer Workflow, Speed Benchmarks, Execution Plan Template, Retiring Month-End, Automated Accruals Guide, Scaling Without Headcount.</t>
  </si>
  <si>
    <t xml:space="preserve">2026-03-02</t>
  </si>
  <si>
    <t xml:space="preserve">Keep the cadence. Do not skip.</t>
  </si>
  <si>
    <t xml:space="preserve">Prepare Product Hunt listing</t>
  </si>
  <si>
    <t xml:space="preserve">Write tagline, description, 5 screenshots, maker story. Line up a hunter (ideally a known PH community member). Plan first-hour voting: notify your network 24h in advance. Target launch date: April 8-10 (Week 2, not April 1).</t>
  </si>
  <si>
    <t xml:space="preserve">Full PH listing draft ready, hunter confirmed</t>
  </si>
  <si>
    <t xml:space="preserve">PH in Week 2, not Week 1. Let Week 1 users validate the product first.</t>
  </si>
  <si>
    <t xml:space="preserve">Draft 3-email launch sequence</t>
  </si>
  <si>
    <t xml:space="preserve">Email 1 (Apr 1): Launch announcement — what Larry is, what it does, direct link to signup. Email 2 (Apr 3): Feature deep-dive — show Larry in action with real examples. Email 3 (Apr 7): Social proof — early user reactions + CTA.</t>
  </si>
  <si>
    <t xml:space="preserve">3 emails drafted, tested, loaded into email platform</t>
  </si>
  <si>
    <t xml:space="preserve">Simple, direct, CTA-focused. No fluff.</t>
  </si>
  <si>
    <t xml:space="preserve">Begin partner outreach to accounting firms</t>
  </si>
  <si>
    <t xml:space="preserve">Identify 5-10 accounting firms serving Series A-C companies. Pitch: 'We give your clients free Larry access. When they need close automation, you get implementation fees.' Schedule intro calls for April.</t>
  </si>
  <si>
    <t xml:space="preserve">5 firms contacted, 2-3 intro calls scheduled</t>
  </si>
  <si>
    <t xml:space="preserve">This is the partner-channel revenue stream ($150K-$250K target).</t>
  </si>
  <si>
    <t xml:space="preserve">Prepare launch day social media plan</t>
  </si>
  <si>
    <t xml:space="preserve">Launch day (Apr 1): LinkedIn post (Post 27), Twitter/X post, email blast. Day 2-7: Daily posts with early user reactions, Larry screenshots, engagement prompts. Pre-write all content.</t>
  </si>
  <si>
    <t xml:space="preserve">2026-03-21</t>
  </si>
  <si>
    <t xml:space="preserve">7 days of launch content pre-written and scheduled</t>
  </si>
  <si>
    <t xml:space="preserve">Do not wing launch week. Pre-write everything.</t>
  </si>
  <si>
    <t xml:space="preserve">WEEKS 5-6: Mar 15-31 — Final Prep &amp; Soft Launch</t>
  </si>
  <si>
    <t xml:space="preserve">Execute 'Roast My Ledger' campaign (Post 19)</t>
  </si>
  <si>
    <t xml:space="preserve">LinkedIn post: 'Send me your sanitized ledger. I'll run Larry's audit and send you 3 insights you missed.' Commit to 10-20 audits. Each = warm lead + potential case study. Must deliver insights within 24 hours.</t>
  </si>
  <si>
    <t xml:space="preserve">Larry QA against 50 datasets complete</t>
  </si>
  <si>
    <t xml:space="preserve">10+ ledger audits completed and shared back</t>
  </si>
  <si>
    <t xml:space="preserve">Your best lead-gen idea. Make it real. 24-hour turnaround is critical.</t>
  </si>
  <si>
    <t xml:space="preserve">LinkedIn Phase 3 content: Weeks 7-8</t>
  </si>
  <si>
    <t xml:space="preserve">Posts 19-24: Roast My Ledger, Feature Comparison Matrix, Why We Built It Manifesto, Early Access Fast Track, First Query Prompt, Pricing ROI Calculator. Larry is NOW revealed by name.</t>
  </si>
  <si>
    <t xml:space="preserve">6 posts published; waitlist/early access signups tracked</t>
  </si>
  <si>
    <t xml:space="preserve">The reveal phase. Larry goes from mechanism to named product.</t>
  </si>
  <si>
    <t xml:space="preserve">Send early access to confirmed influencers</t>
  </si>
  <si>
    <t xml:space="preserve">Give 5+ influencers access to Larry on their own books. Ask them to try it live and share their honest reaction. Provide a simple brief: 'Connect your ERP, ask Larry these 3 questions, tell us what you think.'</t>
  </si>
  <si>
    <t xml:space="preserve">Influencer outreach completed + product QA passed</t>
  </si>
  <si>
    <t xml:space="preserve">3+ influencers post or commit to posting about Larry</t>
  </si>
  <si>
    <t xml:space="preserve">Authentic &gt; scripted. Let them find value organically.</t>
  </si>
  <si>
    <t xml:space="preserve">Operations</t>
  </si>
  <si>
    <t xml:space="preserve">Brief launch week support team</t>
  </si>
  <si>
    <t xml:space="preserve">Assign roles for April 1-7: (1) Product/bug monitor — Anirudh, (2) Support ticket response &lt;1 hour — marketing ops contractor, (3) Community + social monitoring — Rishi, (4) Backup escalation path. Create shared Slack channel.</t>
  </si>
  <si>
    <t xml:space="preserve">Marketing ops hire complete</t>
  </si>
  <si>
    <t xml:space="preserve">2026-03-31</t>
  </si>
  <si>
    <t xml:space="preserve">All roles assigned with documented escalation path</t>
  </si>
  <si>
    <t xml:space="preserve">If someone tweets 'my ERP connection failed' and no one responds for 6 hours, that's reputational damage.</t>
  </si>
  <si>
    <t xml:space="preserve">LinkedIn launch week content: Week 9</t>
  </si>
  <si>
    <t xml:space="preserve">Posts 25-27: Final Checks (Mar 30), Manifesto Redux (Mar 31), MEET LARRY Launch Post (Apr 1). Post 27 must be: problem → solution → CTA (link to signup). No philosophy. Direct path from post to product.</t>
  </si>
  <si>
    <t xml:space="preserve">2026-04-01</t>
  </si>
  <si>
    <t xml:space="preserve">Launch post gets 50+ comments and 100+ reactions</t>
  </si>
  <si>
    <t xml:space="preserve">Do NOT bury the CTA. Clear path from post to product.</t>
  </si>
  <si>
    <t xml:space="preserve">Prepare support/FAQ documentation</t>
  </si>
  <si>
    <t xml:space="preserve">Create help docs for: ERP connection (per ERP), common Larry queries, Close Tracker basics, upgrade flow, billing FAQ. Host on help center or knowledge base.</t>
  </si>
  <si>
    <t xml:space="preserve">Product QA complete</t>
  </si>
  <si>
    <t xml:space="preserve">Help docs cover top 20 anticipated questions</t>
  </si>
  <si>
    <t xml:space="preserve">Users who can self-serve support don't become tickets.</t>
  </si>
  <si>
    <t xml:space="preserve">WEEK 7: Apr 1-7 — LAUNCH WEEK (Controlled)</t>
  </si>
  <si>
    <t xml:space="preserve">Phase 1: Launch Month</t>
  </si>
  <si>
    <t xml:space="preserve">April 1: Launch post + email blast + social</t>
  </si>
  <si>
    <t xml:space="preserve">Execute launch: LinkedIn Post 27 live by 9 AM. Email blast to full list. Twitter/X post. Personal DMs to 20 key people in your network. All pre-written content goes live per schedule.</t>
  </si>
  <si>
    <t xml:space="preserve">All Phase 0 complete</t>
  </si>
  <si>
    <t xml:space="preserve">Day 1 signups: 50+</t>
  </si>
  <si>
    <t xml:space="preserve">This is the moment. Execute the plan. Do not improvise.</t>
  </si>
  <si>
    <t xml:space="preserve">Activate Google AdWords (branded terms only)</t>
  </si>
  <si>
    <t xml:space="preserve">Turn on branded campaigns only: 'Komplai,' 'Larry AI finance.' Budget: Rs. 10,000/week ($120). Monitor CPC, CTR, conversion to signup. Do NOT activate competitor or category terms yet.</t>
  </si>
  <si>
    <t xml:space="preserve">Launch day</t>
  </si>
  <si>
    <t xml:space="preserve">2026-04-07</t>
  </si>
  <si>
    <t xml:space="preserve">Branded ads live with &lt;$3 CPC and &gt;2% CTR</t>
  </si>
  <si>
    <t xml:space="preserve">Start with branded. Scale to long-tail in Week 2 if branded performs.</t>
  </si>
  <si>
    <t xml:space="preserve">Daily monitoring dashboard: Week 1</t>
  </si>
  <si>
    <t xml:space="preserve">Every morning at 9 AM, review: signups (total + daily), ERP connections (total + rate), first Larry queries (total + rate), return visits (Day 1 retention). Share dashboard with Rishi. Flag if ERP connection rate &lt;40% or first-query rate &lt;60%.</t>
  </si>
  <si>
    <t xml:space="preserve">Funnel tracking live</t>
  </si>
  <si>
    <t xml:space="preserve">Dashboard reviewed daily; issues flagged within 4 hours</t>
  </si>
  <si>
    <t xml:space="preserve">If connection rate &lt;40%, there is a UX problem. Fix before scaling traffic.</t>
  </si>
  <si>
    <t xml:space="preserve">Personal outreach to every Week 1 user</t>
  </si>
  <si>
    <t xml:space="preserve">Message every single user who signs up in Week 1. Ask: What brought you here? What did you try first? What worked? What didn't? Use LinkedIn DM, email, or in-product chat. Log responses in spreadsheet.</t>
  </si>
  <si>
    <t xml:space="preserve">30+ user conversations logged with qualitative feedback</t>
  </si>
  <si>
    <t xml:space="preserve">This qualitative data is worth more than any analytics dashboard.</t>
  </si>
  <si>
    <t xml:space="preserve">Fix onboarding friction identified in Week 1</t>
  </si>
  <si>
    <t xml:space="preserve">From daily monitoring + user feedback, identify and fix the top 3 friction points. Target &lt;24-hour fix cycle for critical issues. Prioritize: ERP connection failures &gt; Larry accuracy issues &gt; UX confusion.</t>
  </si>
  <si>
    <t xml:space="preserve">Daily monitoring active</t>
  </si>
  <si>
    <t xml:space="preserve">2026-04-02</t>
  </si>
  <si>
    <t xml:space="preserve">Top 3 friction points identified and fixed</t>
  </si>
  <si>
    <t xml:space="preserve">Speed of response in Week 1 determines whether the launch has legs.</t>
  </si>
  <si>
    <t xml:space="preserve">WEEK 8: Apr 8-14 — Iterate &amp; Scale</t>
  </si>
  <si>
    <t xml:space="preserve">Product Hunt launch</t>
  </si>
  <si>
    <t xml:space="preserve">Launch on PH (target Tuesday or Wednesday). Execute voting plan: notify network 24h before. Rishi: respond to every PH comment within 1 hour. Target: 500+ upvotes, Top 5 of the day.</t>
  </si>
  <si>
    <t xml:space="preserve">Week 1 product issues fixed</t>
  </si>
  <si>
    <t xml:space="preserve">2026-04-08</t>
  </si>
  <si>
    <t xml:space="preserve">2026-04-10</t>
  </si>
  <si>
    <t xml:space="preserve">500+ upvotes, 200+ signups from PH</t>
  </si>
  <si>
    <t xml:space="preserve">PH can deliver 500-2000 signups in a single day if prepared properly.</t>
  </si>
  <si>
    <t xml:space="preserve">Scale Google AdWords: add long-tail keywords</t>
  </si>
  <si>
    <t xml:space="preserve">Add long-tail campaigns: 'MIS automation,' 'AI finance assistant for CFOs,' 'why does month end close take so long.' Add competitor terms: 'Numeric alternatives.' Budget: Rs. 15,000/week ($180). Create dedicated landing pages per keyword group.</t>
  </si>
  <si>
    <t xml:space="preserve">Branded ads performing</t>
  </si>
  <si>
    <t xml:space="preserve">2026-04-14</t>
  </si>
  <si>
    <t xml:space="preserve">Long-tail campaigns live with &lt;$10 CPC</t>
  </si>
  <si>
    <t xml:space="preserve">Only scale what converts to activated users, not just signups.</t>
  </si>
  <si>
    <t xml:space="preserve">Shift LinkedIn content: 'What Larry found' posts</t>
  </si>
  <si>
    <t xml:space="preserve">Move from educational content to demonstration content. Share anonymized Larry insights from real user data (with permission). Show actual charts, analysis, and answers Larry produced. 3x/week continues.</t>
  </si>
  <si>
    <t xml:space="preserve">Launch complete</t>
  </si>
  <si>
    <t xml:space="preserve">2026-04-30</t>
  </si>
  <si>
    <t xml:space="preserve">3 posts/week showing real Larry outputs</t>
  </si>
  <si>
    <t xml:space="preserve">Show, don't tell. Demonstrated value &gt; theoretical value.</t>
  </si>
  <si>
    <t xml:space="preserve">Fix existing SEO articles (batch 2: articles 21-50)</t>
  </si>
  <si>
    <t xml:space="preserve">After batch 1 (top 20) title rewrites, continue with articles 21-50. Same formula: benefit + timeframe titles, proof + emotion meta descriptions, add schema markup.</t>
  </si>
  <si>
    <t xml:space="preserve">Batch 1 done (Feb)</t>
  </si>
  <si>
    <t xml:space="preserve">2026-04-21</t>
  </si>
  <si>
    <t xml:space="preserve">50 total articles optimized; CTR improvement tracked</t>
  </si>
  <si>
    <t xml:space="preserve">SEO compounds. These fixes pay off in May-June.</t>
  </si>
  <si>
    <t xml:space="preserve">First sales outreach from Larry trigger signals</t>
  </si>
  <si>
    <t xml:space="preserve">Users who triggered sales handoff notifications get personalized outreach. Reference their actual Larry usage. Goal: start 5+ enterprise conversations in Week 2-3.</t>
  </si>
  <si>
    <t xml:space="preserve">Sales triggers operational</t>
  </si>
  <si>
    <t xml:space="preserve">5+ enterprise conversations initiated</t>
  </si>
  <si>
    <t xml:space="preserve">These warm leads are 10x more valuable than cold outbound.</t>
  </si>
  <si>
    <t xml:space="preserve">WEEKS 9-10: Apr 15-30 — First Conversions</t>
  </si>
  <si>
    <t xml:space="preserve">Trigger upgrade email sequence</t>
  </si>
  <si>
    <t xml:space="preserve">For users who signed up Weeks 1-2 and used Larry 5+ times: Day 1 email: 'You've asked Larry [X] questions. Scaling gives you unlimited.' Day 3: 'Your team could save [Y] hours.' Day 7: Direct upgrade offer with annual discount.</t>
  </si>
  <si>
    <t xml:space="preserve">Upgrade flow built + enough users</t>
  </si>
  <si>
    <t xml:space="preserve">2026-04-15</t>
  </si>
  <si>
    <t xml:space="preserve">2026-04-22</t>
  </si>
  <si>
    <t xml:space="preserve">Email sequence triggers for all eligible users; 5%+ open-to-upgrade rate</t>
  </si>
  <si>
    <t xml:space="preserve">This is where self-serve revenue starts.</t>
  </si>
  <si>
    <t xml:space="preserve">Surface month-end Close Tracker insights proactively</t>
  </si>
  <si>
    <t xml:space="preserve">As April month-end approaches (Apr 25-30), push Close Tracker notifications: 'Your April close is X% complete. At current pace, estimated close: Day Y.' Free tier shows basic progress. Scaling shows predictions + bottlenecks.</t>
  </si>
  <si>
    <t xml:space="preserve">Close Tracker built</t>
  </si>
  <si>
    <t xml:space="preserve">Close Tracker notifications sent to all connected users</t>
  </si>
  <si>
    <t xml:space="preserve">Close Tracker is the wedge into paid. Month-end is when it shines.</t>
  </si>
  <si>
    <t xml:space="preserve">Compile first case study from early adopter</t>
  </si>
  <si>
    <t xml:space="preserve">Identify the most engaged user from Week 1-2 signups. Ask for a 15-min call. Document: their problem, how Larry helped, time saved, specific insights. Draft a 1-page case study with before/after metrics.</t>
  </si>
  <si>
    <t xml:space="preserve">Users with 2+ weeks of usage</t>
  </si>
  <si>
    <t xml:space="preserve">1 case study draft with real metrics</t>
  </si>
  <si>
    <t xml:space="preserve">You need social proof for May scaling.</t>
  </si>
  <si>
    <t xml:space="preserve">Activate LinkedIn retargeting ads</t>
  </si>
  <si>
    <t xml:space="preserve">Website visitor retargeting with CFO/Controller/Finance Director titles. Budget: Rs. 15,000/month ($180). Creative: 'Your peers are using Larry to close faster. Try it free.' Link to signup.</t>
  </si>
  <si>
    <t xml:space="preserve">LinkedIn pixel installed + 300+ in audience pool</t>
  </si>
  <si>
    <t xml:space="preserve">Retargeting ads live with tracked conversions</t>
  </si>
  <si>
    <t xml:space="preserve">Only activate if audience pool is 300+. Otherwise, wait.</t>
  </si>
  <si>
    <t xml:space="preserve">Month-end review: April metrics + learnings</t>
  </si>
  <si>
    <t xml:space="preserve">Full review: signups, ERP connections, activation rate, questions asked, retention (Day 1/3/7), paid conversions, MRR, enterprise pipeline. Document: what worked, what didn't, what to change for May. Share with team.</t>
  </si>
  <si>
    <t xml:space="preserve">Month end</t>
  </si>
  <si>
    <t xml:space="preserve">2026-04-28</t>
  </si>
  <si>
    <t xml:space="preserve">Written review with data tables + decisions for May</t>
  </si>
  <si>
    <t xml:space="preserve">This review drives every May decision. Do not skip.</t>
  </si>
  <si>
    <t xml:space="preserve">PHASE 2: May 1-31 — Growth &amp; Sales Activation</t>
  </si>
  <si>
    <t xml:space="preserve">Phase 2: Growth Month</t>
  </si>
  <si>
    <t xml:space="preserve">Launch Growth tier ($499/mo)</t>
  </si>
  <si>
    <t xml:space="preserve">Activate Growth tier with: JV Automation (AP/AR), AI-assisted bank recon (Fast Track), weekly validation workflows, email sync. Self-serve with optional onboarding call.</t>
  </si>
  <si>
    <t xml:space="preserve">Phase 1 learnings</t>
  </si>
  <si>
    <t xml:space="preserve">2026-05-01</t>
  </si>
  <si>
    <t xml:space="preserve">2026-05-07</t>
  </si>
  <si>
    <t xml:space="preserve">Growth tier live and purchasable</t>
  </si>
  <si>
    <t xml:space="preserve">This bridges the 10x gap between Scaling ($199) and Enterprise ($10K+).</t>
  </si>
  <si>
    <t xml:space="preserve">Full Close Tracker features (Scaling+)</t>
  </si>
  <si>
    <t xml:space="preserve">Enable timeline predictions and bottleneck analysis for Scaling/Growth users. 'Based on last 6 closes, you finish on Day 8. You're on pace for Day 10.' 'Bank recon is your slowest step.'</t>
  </si>
  <si>
    <t xml:space="preserve">Basic Close Tracker live</t>
  </si>
  <si>
    <t xml:space="preserve">2026-05-15</t>
  </si>
  <si>
    <t xml:space="preserve">Timeline predictions accurate within 2 days for test accounts</t>
  </si>
  <si>
    <t xml:space="preserve">Full Close Tracker is the primary upgrade driver.</t>
  </si>
  <si>
    <t xml:space="preserve">Double down on converting channels</t>
  </si>
  <si>
    <t xml:space="preserve">Review April data. Identify which channels produced activated users (not just signups). Reallocate May budget: increase spend on channels with &gt;50% activation rate, cut channels with &lt;30% activation rate.</t>
  </si>
  <si>
    <t xml:space="preserve">April month-end review</t>
  </si>
  <si>
    <t xml:space="preserve">2026-05-05</t>
  </si>
  <si>
    <t xml:space="preserve">May budget allocated based on April activation data</t>
  </si>
  <si>
    <t xml:space="preserve">A channel that produces signups but low activation is a vanity metric. Kill it.</t>
  </si>
  <si>
    <t xml:space="preserve">Google AdWords: increase to Rs. 60,000 for May</t>
  </si>
  <si>
    <t xml:space="preserve">Add competitor keywords performing from April tests. Create dedicated landing pages for top 3 performing keyword groups. Budget: Rs. 60,000/month ($720).</t>
  </si>
  <si>
    <t xml:space="preserve">April ad performance data</t>
  </si>
  <si>
    <t xml:space="preserve">2026-05-31</t>
  </si>
  <si>
    <t xml:space="preserve">CPA (cost per activated user) tracked and &lt;$50</t>
  </si>
  <si>
    <t xml:space="preserve">Only scale what converts to activated users.</t>
  </si>
  <si>
    <t xml:space="preserve">Warm outbound from Larry usage data</t>
  </si>
  <si>
    <t xml:space="preserve">Users who hit question limits, explore multi-entity, or show consistent Close Tracker bottlenecks → personalized outreach referencing their actual usage. Target: 5-8 enterprise conversations in May.</t>
  </si>
  <si>
    <t xml:space="preserve">5-8 enterprise conversations; $200K-$400K pipeline</t>
  </si>
  <si>
    <t xml:space="preserve">This is where the real revenue lives. Prioritize over self-serve optimizations.</t>
  </si>
  <si>
    <t xml:space="preserve">Direct outbound to ICP (10 target accounts)</t>
  </si>
  <si>
    <t xml:space="preserve">Identify 10 Series A-C companies with 10+ finance teams. Use 'Roast My Ledger' as hook: 'We'll run a free AI audit of your close process.' Personalized emails to CFO/Controller.</t>
  </si>
  <si>
    <t xml:space="preserve">10 outbound emails sent; 3+ responses</t>
  </si>
  <si>
    <t xml:space="preserve">Supplement Larry-sourced leads with targeted outbound.</t>
  </si>
  <si>
    <t xml:space="preserve">Partnerships</t>
  </si>
  <si>
    <t xml:space="preserve">Execute accounting firm partner meetings</t>
  </si>
  <si>
    <t xml:space="preserve">Meet with 3-5 firms from March outreach. Present partnership model: free Larry for their clients, implementation fees for close automation. Sign 1-2 partners by May 31.</t>
  </si>
  <si>
    <t xml:space="preserve">March partner outreach</t>
  </si>
  <si>
    <t xml:space="preserve">1-2 accounting firm partners signed</t>
  </si>
  <si>
    <t xml:space="preserve">Partner channel = $150K-$250K target. Needs to start producing in June.</t>
  </si>
  <si>
    <t xml:space="preserve">Community engagement: Reddit, Slack, forums</t>
  </si>
  <si>
    <t xml:space="preserve">Weekly participation in r/accounting, r/CFO, finance Slack groups. Answer questions. Share frameworks. Mention Komplai only when relevant. 3-5 substantive contributions per week.</t>
  </si>
  <si>
    <t xml:space="preserve">15+ community contributions; tracked referral traffic</t>
  </si>
  <si>
    <t xml:space="preserve">Slow burn, high quality. Best leads come from genuine participation.</t>
  </si>
  <si>
    <t xml:space="preserve">Launch referral program for existing users</t>
  </si>
  <si>
    <t xml:space="preserve">Offer existing users 3 months of Scaling free for every referral that converts to paid. Simple referral link/code. Track: referrals sent, signups from referrals, conversions.</t>
  </si>
  <si>
    <t xml:space="preserve">Paying users exist</t>
  </si>
  <si>
    <t xml:space="preserve">Referral program live; 10+ referrals generated</t>
  </si>
  <si>
    <t xml:space="preserve">Costs nothing but deferred revenue. Your best users are your best salespeople.</t>
  </si>
  <si>
    <t xml:space="preserve">Publish first case study</t>
  </si>
  <si>
    <t xml:space="preserve">Finalize April case study. Publish on website, share on LinkedIn, include in sales outreach. Format: problem → Larry solution → results (with numbers).</t>
  </si>
  <si>
    <t xml:space="preserve">Case study draft from April</t>
  </si>
  <si>
    <t xml:space="preserve">2026-05-12</t>
  </si>
  <si>
    <t xml:space="preserve">Case study published; used in 5+ sales conversations</t>
  </si>
  <si>
    <t xml:space="preserve">Social proof accelerates everything.</t>
  </si>
  <si>
    <t xml:space="preserve">Month-end review: May metrics + learnings</t>
  </si>
  <si>
    <t xml:space="preserve">Full review: cumulative signups, paid conversions (Scaling + Growth), MRR, enterprise pipeline, partner progress. Compare to targets. Adjust June plan.</t>
  </si>
  <si>
    <t xml:space="preserve">2026-05-28</t>
  </si>
  <si>
    <t xml:space="preserve">Written review with revised June targets</t>
  </si>
  <si>
    <t xml:space="preserve">By now you should know if the model works.</t>
  </si>
  <si>
    <t xml:space="preserve">PHASE 3: Jun-Sep — Acceleration &amp; Enterprise Revenue</t>
  </si>
  <si>
    <t xml:space="preserve">Phase 3: Acceleration</t>
  </si>
  <si>
    <t xml:space="preserve">Close first 2-3 Enterprise deals</t>
  </si>
  <si>
    <t xml:space="preserve">Convert April-May pipeline. Target: 2-3 deals at $20K-$30K each. Use case studies, live demos on their data, Larry usage history as proof points.</t>
  </si>
  <si>
    <t xml:space="preserve">May pipeline built</t>
  </si>
  <si>
    <t xml:space="preserve">2026-06-01</t>
  </si>
  <si>
    <t xml:space="preserve">2026-06-30</t>
  </si>
  <si>
    <t xml:space="preserve">$40K-$90K from enterprise in June</t>
  </si>
  <si>
    <t xml:space="preserve">Enterprise is where the revenue math works.</t>
  </si>
  <si>
    <t xml:space="preserve">Enterprise tier positioning: full Book Close</t>
  </si>
  <si>
    <t xml:space="preserve">Position full Book Close module for Enterprise pipeline. Multi-entity consolidation, maker-checker workflows, custom integrations. Prepare demo flow for Enterprise sales calls.</t>
  </si>
  <si>
    <t xml:space="preserve">Growth tier stable</t>
  </si>
  <si>
    <t xml:space="preserve">Enterprise demo flow documented and tested</t>
  </si>
  <si>
    <t xml:space="preserve">Enterprise deals need a polished story.</t>
  </si>
  <si>
    <t xml:space="preserve">Scale content + SEO to drive organic traffic</t>
  </si>
  <si>
    <t xml:space="preserve">Publish 4-6 new high-intent articles per month using optimized formula. Topics from keyword research: 'close automation for startups,' 'AI reconciliation software,' 'MIS report automation.' SEO should be producing 2,000+ organic visits/month by August.</t>
  </si>
  <si>
    <t xml:space="preserve">SEO fixes from Feb-May</t>
  </si>
  <si>
    <t xml:space="preserve">2026-09-30</t>
  </si>
  <si>
    <t xml:space="preserve">Organic traffic growing 20%+ month-over-month</t>
  </si>
  <si>
    <t xml:space="preserve">Content compounds. June articles pay off in August-September.</t>
  </si>
  <si>
    <t xml:space="preserve">Scaling → Growth upsells</t>
  </si>
  <si>
    <t xml:space="preserve">Identify Scaling users who would benefit from Growth features (JV automation, bank recon). Target 10-15% upgrade rate. In-product prompts during close periods: 'Automate this bottleneck with Growth plan.'</t>
  </si>
  <si>
    <t xml:space="preserve">Growth tier live + users on Scaling</t>
  </si>
  <si>
    <t xml:space="preserve">2026-06-15</t>
  </si>
  <si>
    <t xml:space="preserve">10-15% of Scaling users upgrade to Growth</t>
  </si>
  <si>
    <t xml:space="preserve">Expansion revenue is the cheapest revenue.</t>
  </si>
  <si>
    <t xml:space="preserve">Partner channel producing referrals</t>
  </si>
  <si>
    <t xml:space="preserve">Signed accounting firm partners should be referring clients. Target: 2-3 referral deals per month at $10K-$20K. Provide partners with Larry demo access and sales collateral.</t>
  </si>
  <si>
    <t xml:space="preserve">Partners signed in May</t>
  </si>
  <si>
    <t xml:space="preserve">2-3 partner referral deals/month by August</t>
  </si>
  <si>
    <t xml:space="preserve">Partner revenue = $150K-$250K over 6 months. Needs consistent nurturing.</t>
  </si>
  <si>
    <t xml:space="preserve">Monthly revenue reviews (Jun, Jul, Aug, Sep)</t>
  </si>
  <si>
    <t xml:space="preserve">Monthly review of: self-serve MRR, enterprise deals closed, partner revenue, total cumulative. Compare to 3-stream model targets. Adjust channels every 2 weeks.</t>
  </si>
  <si>
    <t xml:space="preserve">Monthly cadence</t>
  </si>
  <si>
    <t xml:space="preserve">Monthly reviews with documented decisions</t>
  </si>
  <si>
    <t xml:space="preserve">Kill what doesn't work. Double down on what does.</t>
  </si>
  <si>
    <t xml:space="preserve">LAUNCH PLAN DASHBOARD</t>
  </si>
  <si>
    <t xml:space="preserve">TASK SUMMARY</t>
  </si>
  <si>
    <t xml:space="preserve">Total</t>
  </si>
  <si>
    <t xml:space="preserve">P0 Tasks</t>
  </si>
  <si>
    <t xml:space="preserve">Key Deadline</t>
  </si>
  <si>
    <t xml:space="preserve">Product/Engineering</t>
  </si>
  <si>
    <t xml:space="preserve">Mar 28: Final QA</t>
  </si>
  <si>
    <t xml:space="preserve">Apr 1: Launch day</t>
  </si>
  <si>
    <t xml:space="preserve">May 31: Pipeline $200K+</t>
  </si>
  <si>
    <t xml:space="preserve">May 31: 1-2 partners signed</t>
  </si>
  <si>
    <t xml:space="preserve">Operations/Hiring</t>
  </si>
  <si>
    <t xml:space="preserve">Mar 7: Marketing ops hired</t>
  </si>
  <si>
    <t xml:space="preserve">TOTAL</t>
  </si>
  <si>
    <t xml:space="preserve">REVENUE TARGETS (6-MONTH)</t>
  </si>
  <si>
    <t xml:space="preserve">Stream</t>
  </si>
  <si>
    <t xml:space="preserve">Target</t>
  </si>
  <si>
    <t xml:space="preserve">Mechanism</t>
  </si>
  <si>
    <t xml:space="preserve">Confidence</t>
  </si>
  <si>
    <t xml:space="preserve">Key Milestones</t>
  </si>
  <si>
    <t xml:space="preserve">Self-serve (Scaling + Growth)</t>
  </si>
  <si>
    <t xml:space="preserve">$150K-$250K</t>
  </si>
  <si>
    <t xml:space="preserve">PLG funnel</t>
  </si>
  <si>
    <t xml:space="preserve">Medium</t>
  </si>
  <si>
    <t xml:space="preserve">200-400 paying subs by Sep</t>
  </si>
  <si>
    <t xml:space="preserve">Sales-assisted Enterprise</t>
  </si>
  <si>
    <t xml:space="preserve">$400K-$600K</t>
  </si>
  <si>
    <t xml:space="preserve">Larry signals + outbound</t>
  </si>
  <si>
    <t xml:space="preserve">Med-High</t>
  </si>
  <si>
    <t xml:space="preserve">10-15 deals at $20K-$40K</t>
  </si>
  <si>
    <t xml:space="preserve">Partner / Channel</t>
  </si>
  <si>
    <t xml:space="preserve">Accounting firm referrals</t>
  </si>
  <si>
    <t xml:space="preserve">Low-Med</t>
  </si>
  <si>
    <t xml:space="preserve">2-3 deals/month by Aug</t>
  </si>
  <si>
    <t xml:space="preserve">$700K-$1.1M</t>
  </si>
  <si>
    <t xml:space="preserve">Realistic: $420K-$680K</t>
  </si>
  <si>
    <t xml:space="preserve">MONTHLY SUCCESS METRICS</t>
  </si>
  <si>
    <t xml:space="preserve">Month</t>
  </si>
  <si>
    <t xml:space="preserve">Signups</t>
  </si>
  <si>
    <t xml:space="preserve">Paid Users</t>
  </si>
  <si>
    <t xml:space="preserve">MRR</t>
  </si>
  <si>
    <t xml:space="preserve">Enterprise Pipeline</t>
  </si>
  <si>
    <t xml:space="preserve">April</t>
  </si>
  <si>
    <t xml:space="preserve">200-400</t>
  </si>
  <si>
    <t xml:space="preserve">10-25</t>
  </si>
  <si>
    <t xml:space="preserve">$2K-$7K</t>
  </si>
  <si>
    <t xml:space="preserve">$50K-$100K</t>
  </si>
  <si>
    <t xml:space="preserve">May</t>
  </si>
  <si>
    <t xml:space="preserve">600-1,000</t>
  </si>
  <si>
    <t xml:space="preserve">40-90</t>
  </si>
  <si>
    <t xml:space="preserve">$8K-$18K</t>
  </si>
  <si>
    <t xml:space="preserve">$200K-$400K</t>
  </si>
  <si>
    <t xml:space="preserve">June</t>
  </si>
  <si>
    <t xml:space="preserve">1,000-1,600</t>
  </si>
  <si>
    <t xml:space="preserve">80-150</t>
  </si>
  <si>
    <t xml:space="preserve">$15K-$30K</t>
  </si>
  <si>
    <t xml:space="preserve">$300K-$500K</t>
  </si>
  <si>
    <t xml:space="preserve">July</t>
  </si>
  <si>
    <t xml:space="preserve">1,400-2,200</t>
  </si>
  <si>
    <t xml:space="preserve">120-220</t>
  </si>
  <si>
    <t xml:space="preserve">$22K-$42K</t>
  </si>
  <si>
    <t xml:space="preserve">August</t>
  </si>
  <si>
    <t xml:space="preserve">1,800-2,800</t>
  </si>
  <si>
    <t xml:space="preserve">160-300</t>
  </si>
  <si>
    <t xml:space="preserve">$30K-$55K</t>
  </si>
  <si>
    <t xml:space="preserve">$500K-$700K</t>
  </si>
  <si>
    <t xml:space="preserve">September</t>
  </si>
  <si>
    <t xml:space="preserve">2,200-3,500</t>
  </si>
  <si>
    <t xml:space="preserve">$40K-$70K</t>
  </si>
  <si>
    <t xml:space="preserve">$600K-$800K</t>
  </si>
  <si>
    <t xml:space="preserve">MARKETING BUDGET ALLOCATION (Rs. 6,00,000 / ~$7,200)</t>
  </si>
  <si>
    <t xml:space="preserve">Channel</t>
  </si>
  <si>
    <t xml:space="preserve">Allocation %</t>
  </si>
  <si>
    <t xml:space="preserve">Total (Rs.)</t>
  </si>
  <si>
    <t xml:space="preserve">Apr</t>
  </si>
  <si>
    <t xml:space="preserve">Jun-Sep</t>
  </si>
  <si>
    <t xml:space="preserve">Notes</t>
  </si>
  <si>
    <t xml:space="preserve">SEO + Content Optimization</t>
  </si>
  <si>
    <t xml:space="preserve">35%</t>
  </si>
  <si>
    <t xml:space="preserve">Fix CTR first, then new content</t>
  </si>
  <si>
    <t xml:space="preserve">Google AdWords (branded + long-tail)</t>
  </si>
  <si>
    <t xml:space="preserve">25%</t>
  </si>
  <si>
    <t xml:space="preserve">Only long-tail + branded. No expensive category bids.</t>
  </si>
  <si>
    <t xml:space="preserve">Launch Event + Product Hunt</t>
  </si>
  <si>
    <t xml:space="preserve">15%</t>
  </si>
  <si>
    <t xml:space="preserve">Front-loaded for April launch</t>
  </si>
  <si>
    <t xml:space="preserve">LinkedIn Retargeting</t>
  </si>
  <si>
    <t xml:space="preserve">CFO/Controller titles only. Activate after 300+ pool.</t>
  </si>
  <si>
    <t xml:space="preserve">Community + Partnerships</t>
  </si>
  <si>
    <t xml:space="preserve">10%</t>
  </si>
  <si>
    <t xml:space="preserve">Event sponsorships, firm outreach, tools</t>
  </si>
  <si>
    <t xml:space="preserve">100%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</si>
</sst>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d"/>
    <numFmt numFmtId="166" formatCode="0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D84315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4"/>
      <color rgb="FF1B2A4A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5C6BC0"/>
        <bgColor rgb="FF666666"/>
      </patternFill>
    </fill>
    <fill>
      <patternFill patternType="solid">
        <fgColor rgb="FFFFFFFF"/>
        <bgColor rgb="FFF5F5F5"/>
      </patternFill>
    </fill>
    <fill>
      <patternFill patternType="solid">
        <fgColor rgb="FFD6E4F0"/>
        <bgColor rgb="FFD9D9D9"/>
      </patternFill>
    </fill>
    <fill>
      <patternFill patternType="solid">
        <fgColor rgb="FFFCE4EC"/>
        <bgColor rgb="FFFDE9D9"/>
      </patternFill>
    </fill>
    <fill>
      <patternFill patternType="solid">
        <fgColor rgb="FFF5F5F5"/>
        <bgColor rgb="FFE8F5E9"/>
      </patternFill>
    </fill>
    <fill>
      <patternFill patternType="solid">
        <fgColor rgb="FFFFF8E1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DE9D9"/>
        <bgColor rgb="FFFCE4EC"/>
      </patternFill>
    </fill>
    <fill>
      <patternFill patternType="solid">
        <fgColor rgb="FF1976D2"/>
        <bgColor rgb="FF1565C0"/>
      </patternFill>
    </fill>
    <fill>
      <patternFill patternType="solid">
        <fgColor rgb="FF388E3C"/>
        <bgColor rgb="FF2E7D32"/>
      </patternFill>
    </fill>
    <fill>
      <patternFill patternType="solid">
        <fgColor rgb="FFE85D26"/>
        <bgColor rgb="FFD84315"/>
      </patternFill>
    </fill>
    <fill>
      <patternFill patternType="solid">
        <fgColor rgb="FFD9D9D9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4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666666"/>
      <rgbColor rgb="FF9999FF"/>
      <rgbColor rgb="FFD84315"/>
      <rgbColor rgb="FFFFF8E1"/>
      <rgbColor rgb="FFE8F5E9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5F5F5"/>
      <rgbColor rgb="FFFDE9D9"/>
      <rgbColor rgb="FF99CCFF"/>
      <rgbColor rgb="FFFF99CC"/>
      <rgbColor rgb="FFCC99FF"/>
      <rgbColor rgb="FFFCE4EC"/>
      <rgbColor rgb="FF1976D2"/>
      <rgbColor rgb="FF33CCCC"/>
      <rgbColor rgb="FF99CC00"/>
      <rgbColor rgb="FFFFCC00"/>
      <rgbColor rgb="FFF57F17"/>
      <rgbColor rgb="FFE85D26"/>
      <rgbColor rgb="FF5C6BC0"/>
      <rgbColor rgb="FF969696"/>
      <rgbColor rgb="FF1B2A4A"/>
      <rgbColor rgb="FF388E3C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N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5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4" min="13" style="0" width="3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4" hidden="false" customHeight="true" outlineLevel="0" collapsed="false">
      <c r="A5" s="4" t="s">
        <v>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60" hidden="false" customHeight="true" outlineLevel="0" collapsed="false">
      <c r="A6" s="5" t="n">
        <v>1</v>
      </c>
      <c r="B6" s="5" t="s">
        <v>17</v>
      </c>
      <c r="C6" s="5" t="s">
        <v>18</v>
      </c>
      <c r="D6" s="6" t="s">
        <v>19</v>
      </c>
      <c r="E6" s="6" t="s">
        <v>20</v>
      </c>
      <c r="F6" s="7" t="s">
        <v>21</v>
      </c>
      <c r="G6" s="8" t="s">
        <v>22</v>
      </c>
      <c r="H6" s="5" t="s">
        <v>23</v>
      </c>
      <c r="I6" s="9" t="s">
        <v>24</v>
      </c>
      <c r="J6" s="9" t="s">
        <v>25</v>
      </c>
      <c r="K6" s="10" t="n">
        <f aca="false">J6-I6+1</f>
        <v>3</v>
      </c>
      <c r="L6" s="5" t="s">
        <v>26</v>
      </c>
      <c r="M6" s="6" t="s">
        <v>27</v>
      </c>
      <c r="N6" s="6" t="s">
        <v>28</v>
      </c>
    </row>
    <row r="7" customFormat="false" ht="60" hidden="false" customHeight="true" outlineLevel="0" collapsed="false">
      <c r="A7" s="11" t="n">
        <v>2</v>
      </c>
      <c r="B7" s="11" t="s">
        <v>17</v>
      </c>
      <c r="C7" s="11" t="s">
        <v>18</v>
      </c>
      <c r="D7" s="12" t="s">
        <v>29</v>
      </c>
      <c r="E7" s="12" t="s">
        <v>30</v>
      </c>
      <c r="F7" s="7" t="s">
        <v>21</v>
      </c>
      <c r="G7" s="8" t="s">
        <v>22</v>
      </c>
      <c r="H7" s="11" t="s">
        <v>31</v>
      </c>
      <c r="I7" s="13" t="s">
        <v>25</v>
      </c>
      <c r="J7" s="13" t="s">
        <v>32</v>
      </c>
      <c r="K7" s="14" t="n">
        <f aca="false">J7-I7+1</f>
        <v>10</v>
      </c>
      <c r="L7" s="11" t="s">
        <v>26</v>
      </c>
      <c r="M7" s="12" t="s">
        <v>33</v>
      </c>
      <c r="N7" s="12" t="s">
        <v>34</v>
      </c>
    </row>
    <row r="8" customFormat="false" ht="60" hidden="false" customHeight="true" outlineLevel="0" collapsed="false">
      <c r="A8" s="5" t="n">
        <v>3</v>
      </c>
      <c r="B8" s="5" t="s">
        <v>17</v>
      </c>
      <c r="C8" s="5" t="s">
        <v>18</v>
      </c>
      <c r="D8" s="6" t="s">
        <v>35</v>
      </c>
      <c r="E8" s="6" t="s">
        <v>36</v>
      </c>
      <c r="F8" s="7" t="s">
        <v>21</v>
      </c>
      <c r="G8" s="8" t="s">
        <v>22</v>
      </c>
      <c r="H8" s="5" t="s">
        <v>37</v>
      </c>
      <c r="I8" s="9" t="s">
        <v>38</v>
      </c>
      <c r="J8" s="9" t="s">
        <v>39</v>
      </c>
      <c r="K8" s="10" t="n">
        <f aca="false">J8-I8+1</f>
        <v>10</v>
      </c>
      <c r="L8" s="5" t="s">
        <v>26</v>
      </c>
      <c r="M8" s="6" t="s">
        <v>40</v>
      </c>
      <c r="N8" s="6" t="s">
        <v>41</v>
      </c>
    </row>
    <row r="9" customFormat="false" ht="60" hidden="false" customHeight="true" outlineLevel="0" collapsed="false">
      <c r="A9" s="11" t="n">
        <v>4</v>
      </c>
      <c r="B9" s="11" t="s">
        <v>17</v>
      </c>
      <c r="C9" s="11" t="s">
        <v>18</v>
      </c>
      <c r="D9" s="12" t="s">
        <v>42</v>
      </c>
      <c r="E9" s="12" t="s">
        <v>43</v>
      </c>
      <c r="F9" s="7" t="s">
        <v>21</v>
      </c>
      <c r="G9" s="15" t="s">
        <v>44</v>
      </c>
      <c r="H9" s="11" t="s">
        <v>31</v>
      </c>
      <c r="I9" s="13" t="s">
        <v>45</v>
      </c>
      <c r="J9" s="13" t="s">
        <v>46</v>
      </c>
      <c r="K9" s="14" t="n">
        <f aca="false">J9-I9+1</f>
        <v>12</v>
      </c>
      <c r="L9" s="11" t="s">
        <v>26</v>
      </c>
      <c r="M9" s="12" t="s">
        <v>47</v>
      </c>
      <c r="N9" s="12" t="s">
        <v>48</v>
      </c>
    </row>
    <row r="10" customFormat="false" ht="60" hidden="false" customHeight="true" outlineLevel="0" collapsed="false">
      <c r="A10" s="5" t="n">
        <v>5</v>
      </c>
      <c r="B10" s="5" t="s">
        <v>17</v>
      </c>
      <c r="C10" s="5" t="s">
        <v>18</v>
      </c>
      <c r="D10" s="6" t="s">
        <v>49</v>
      </c>
      <c r="E10" s="6" t="s">
        <v>50</v>
      </c>
      <c r="F10" s="7" t="s">
        <v>21</v>
      </c>
      <c r="G10" s="8" t="s">
        <v>22</v>
      </c>
      <c r="H10" s="5" t="s">
        <v>31</v>
      </c>
      <c r="I10" s="9" t="s">
        <v>25</v>
      </c>
      <c r="J10" s="9" t="s">
        <v>51</v>
      </c>
      <c r="K10" s="10" t="n">
        <f aca="false">J10-I10+1</f>
        <v>8</v>
      </c>
      <c r="L10" s="5" t="s">
        <v>26</v>
      </c>
      <c r="M10" s="6" t="s">
        <v>52</v>
      </c>
      <c r="N10" s="6" t="s">
        <v>53</v>
      </c>
    </row>
    <row r="11" customFormat="false" ht="60" hidden="false" customHeight="true" outlineLevel="0" collapsed="false">
      <c r="A11" s="11" t="n">
        <v>6</v>
      </c>
      <c r="B11" s="11" t="s">
        <v>17</v>
      </c>
      <c r="C11" s="11" t="s">
        <v>18</v>
      </c>
      <c r="D11" s="12" t="s">
        <v>54</v>
      </c>
      <c r="E11" s="12" t="s">
        <v>55</v>
      </c>
      <c r="F11" s="7" t="s">
        <v>21</v>
      </c>
      <c r="G11" s="8" t="s">
        <v>22</v>
      </c>
      <c r="H11" s="11" t="s">
        <v>23</v>
      </c>
      <c r="I11" s="13" t="s">
        <v>24</v>
      </c>
      <c r="J11" s="13" t="s">
        <v>38</v>
      </c>
      <c r="K11" s="14" t="n">
        <f aca="false">J11-I11+1</f>
        <v>8</v>
      </c>
      <c r="L11" s="11" t="s">
        <v>26</v>
      </c>
      <c r="M11" s="12" t="s">
        <v>56</v>
      </c>
      <c r="N11" s="12" t="s">
        <v>57</v>
      </c>
    </row>
    <row r="12" customFormat="false" ht="60" hidden="false" customHeight="true" outlineLevel="0" collapsed="false">
      <c r="A12" s="5" t="n">
        <v>7</v>
      </c>
      <c r="B12" s="5" t="s">
        <v>17</v>
      </c>
      <c r="C12" s="5" t="s">
        <v>18</v>
      </c>
      <c r="D12" s="6" t="s">
        <v>58</v>
      </c>
      <c r="E12" s="6" t="s">
        <v>59</v>
      </c>
      <c r="F12" s="7" t="s">
        <v>21</v>
      </c>
      <c r="G12" s="15" t="s">
        <v>44</v>
      </c>
      <c r="H12" s="5" t="s">
        <v>60</v>
      </c>
      <c r="I12" s="9" t="s">
        <v>38</v>
      </c>
      <c r="J12" s="9" t="s">
        <v>32</v>
      </c>
      <c r="K12" s="10" t="n">
        <f aca="false">J12-I12+1</f>
        <v>5</v>
      </c>
      <c r="L12" s="5" t="s">
        <v>26</v>
      </c>
      <c r="M12" s="6" t="s">
        <v>61</v>
      </c>
      <c r="N12" s="6" t="s">
        <v>62</v>
      </c>
    </row>
    <row r="13" customFormat="false" ht="60" hidden="false" customHeight="true" outlineLevel="0" collapsed="false">
      <c r="A13" s="11" t="n">
        <v>8</v>
      </c>
      <c r="B13" s="11" t="s">
        <v>17</v>
      </c>
      <c r="C13" s="11" t="s">
        <v>18</v>
      </c>
      <c r="D13" s="12" t="s">
        <v>63</v>
      </c>
      <c r="E13" s="12" t="s">
        <v>64</v>
      </c>
      <c r="F13" s="7" t="s">
        <v>21</v>
      </c>
      <c r="G13" s="15" t="s">
        <v>44</v>
      </c>
      <c r="H13" s="11" t="s">
        <v>65</v>
      </c>
      <c r="I13" s="13" t="s">
        <v>32</v>
      </c>
      <c r="J13" s="13" t="s">
        <v>66</v>
      </c>
      <c r="K13" s="14" t="n">
        <f aca="false">J13-I13+1</f>
        <v>8</v>
      </c>
      <c r="L13" s="11" t="s">
        <v>26</v>
      </c>
      <c r="M13" s="12" t="s">
        <v>67</v>
      </c>
      <c r="N13" s="12" t="s">
        <v>68</v>
      </c>
    </row>
    <row r="14" customFormat="false" ht="60" hidden="false" customHeight="true" outlineLevel="0" collapsed="false">
      <c r="A14" s="5" t="n">
        <v>9</v>
      </c>
      <c r="B14" s="5" t="s">
        <v>17</v>
      </c>
      <c r="C14" s="5" t="s">
        <v>18</v>
      </c>
      <c r="D14" s="6" t="s">
        <v>69</v>
      </c>
      <c r="E14" s="6" t="s">
        <v>70</v>
      </c>
      <c r="F14" s="7" t="s">
        <v>21</v>
      </c>
      <c r="G14" s="15" t="s">
        <v>44</v>
      </c>
      <c r="H14" s="5" t="s">
        <v>60</v>
      </c>
      <c r="I14" s="9" t="s">
        <v>51</v>
      </c>
      <c r="J14" s="9" t="s">
        <v>66</v>
      </c>
      <c r="K14" s="10" t="n">
        <f aca="false">J14-I14+1</f>
        <v>10</v>
      </c>
      <c r="L14" s="5" t="s">
        <v>26</v>
      </c>
      <c r="M14" s="6" t="s">
        <v>71</v>
      </c>
      <c r="N14" s="6" t="s">
        <v>72</v>
      </c>
    </row>
    <row r="15" customFormat="false" ht="60" hidden="false" customHeight="true" outlineLevel="0" collapsed="false">
      <c r="A15" s="11" t="n">
        <v>10</v>
      </c>
      <c r="B15" s="11" t="s">
        <v>17</v>
      </c>
      <c r="C15" s="11" t="s">
        <v>18</v>
      </c>
      <c r="D15" s="12" t="s">
        <v>73</v>
      </c>
      <c r="E15" s="12" t="s">
        <v>74</v>
      </c>
      <c r="F15" s="7" t="s">
        <v>21</v>
      </c>
      <c r="G15" s="16" t="s">
        <v>75</v>
      </c>
      <c r="H15" s="11" t="s">
        <v>76</v>
      </c>
      <c r="I15" s="13" t="s">
        <v>66</v>
      </c>
      <c r="J15" s="13" t="s">
        <v>77</v>
      </c>
      <c r="K15" s="14" t="n">
        <f aca="false">J15-I15+1</f>
        <v>6</v>
      </c>
      <c r="L15" s="11" t="s">
        <v>26</v>
      </c>
      <c r="M15" s="12" t="s">
        <v>78</v>
      </c>
      <c r="N15" s="12" t="s">
        <v>79</v>
      </c>
    </row>
    <row r="16" customFormat="false" ht="60" hidden="false" customHeight="true" outlineLevel="0" collapsed="false">
      <c r="A16" s="5" t="n">
        <v>11</v>
      </c>
      <c r="B16" s="5" t="s">
        <v>17</v>
      </c>
      <c r="C16" s="5" t="s">
        <v>18</v>
      </c>
      <c r="D16" s="6" t="s">
        <v>80</v>
      </c>
      <c r="E16" s="6" t="s">
        <v>81</v>
      </c>
      <c r="F16" s="7" t="s">
        <v>21</v>
      </c>
      <c r="G16" s="8" t="s">
        <v>22</v>
      </c>
      <c r="H16" s="5" t="s">
        <v>23</v>
      </c>
      <c r="I16" s="9" t="s">
        <v>82</v>
      </c>
      <c r="J16" s="9" t="s">
        <v>83</v>
      </c>
      <c r="K16" s="10" t="n">
        <f aca="false">J16-I16+1</f>
        <v>8</v>
      </c>
      <c r="L16" s="5" t="s">
        <v>26</v>
      </c>
      <c r="M16" s="6" t="s">
        <v>84</v>
      </c>
      <c r="N16" s="6" t="s">
        <v>85</v>
      </c>
    </row>
    <row r="17" customFormat="false" ht="60" hidden="false" customHeight="true" outlineLevel="0" collapsed="false">
      <c r="A17" s="11" t="n">
        <v>12</v>
      </c>
      <c r="B17" s="11" t="s">
        <v>17</v>
      </c>
      <c r="C17" s="11" t="s">
        <v>18</v>
      </c>
      <c r="D17" s="12" t="s">
        <v>86</v>
      </c>
      <c r="E17" s="12" t="s">
        <v>87</v>
      </c>
      <c r="F17" s="7" t="s">
        <v>21</v>
      </c>
      <c r="G17" s="8" t="s">
        <v>22</v>
      </c>
      <c r="H17" s="11" t="s">
        <v>37</v>
      </c>
      <c r="I17" s="13" t="s">
        <v>88</v>
      </c>
      <c r="J17" s="13" t="s">
        <v>83</v>
      </c>
      <c r="K17" s="14" t="n">
        <f aca="false">J17-I17+1</f>
        <v>15</v>
      </c>
      <c r="L17" s="11" t="s">
        <v>26</v>
      </c>
      <c r="M17" s="12" t="s">
        <v>89</v>
      </c>
      <c r="N17" s="12" t="s">
        <v>90</v>
      </c>
    </row>
    <row r="18" customFormat="false" ht="60" hidden="false" customHeight="true" outlineLevel="0" collapsed="false">
      <c r="A18" s="5" t="n">
        <v>13</v>
      </c>
      <c r="B18" s="5" t="s">
        <v>17</v>
      </c>
      <c r="C18" s="5" t="s">
        <v>18</v>
      </c>
      <c r="D18" s="6" t="s">
        <v>91</v>
      </c>
      <c r="E18" s="6" t="s">
        <v>92</v>
      </c>
      <c r="F18" s="7" t="s">
        <v>21</v>
      </c>
      <c r="G18" s="15" t="s">
        <v>44</v>
      </c>
      <c r="H18" s="5" t="s">
        <v>23</v>
      </c>
      <c r="I18" s="9" t="s">
        <v>38</v>
      </c>
      <c r="J18" s="9" t="s">
        <v>93</v>
      </c>
      <c r="K18" s="10" t="n">
        <f aca="false">J18-I18+1</f>
        <v>19</v>
      </c>
      <c r="L18" s="5" t="s">
        <v>26</v>
      </c>
      <c r="M18" s="6" t="s">
        <v>94</v>
      </c>
      <c r="N18" s="6" t="s">
        <v>95</v>
      </c>
    </row>
    <row r="19" customFormat="false" ht="60" hidden="false" customHeight="true" outlineLevel="0" collapsed="false">
      <c r="A19" s="11" t="n">
        <v>14</v>
      </c>
      <c r="B19" s="11" t="s">
        <v>17</v>
      </c>
      <c r="C19" s="11" t="s">
        <v>18</v>
      </c>
      <c r="D19" s="12" t="s">
        <v>96</v>
      </c>
      <c r="E19" s="12" t="s">
        <v>97</v>
      </c>
      <c r="F19" s="7" t="s">
        <v>21</v>
      </c>
      <c r="G19" s="8" t="s">
        <v>22</v>
      </c>
      <c r="H19" s="11" t="s">
        <v>98</v>
      </c>
      <c r="I19" s="13" t="s">
        <v>83</v>
      </c>
      <c r="J19" s="13" t="s">
        <v>99</v>
      </c>
      <c r="K19" s="14" t="n">
        <f aca="false">J19-I19+1</f>
        <v>5</v>
      </c>
      <c r="L19" s="11" t="s">
        <v>26</v>
      </c>
      <c r="M19" s="12" t="s">
        <v>100</v>
      </c>
      <c r="N19" s="12" t="s">
        <v>101</v>
      </c>
    </row>
    <row r="20" customFormat="false" ht="24" hidden="false" customHeight="true" outlineLevel="0" collapsed="false">
      <c r="A20" s="4" t="s">
        <v>102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60" hidden="false" customHeight="true" outlineLevel="0" collapsed="false">
      <c r="A21" s="5" t="n">
        <v>15</v>
      </c>
      <c r="B21" s="5" t="s">
        <v>17</v>
      </c>
      <c r="C21" s="5" t="s">
        <v>103</v>
      </c>
      <c r="D21" s="6" t="s">
        <v>104</v>
      </c>
      <c r="E21" s="6" t="s">
        <v>105</v>
      </c>
      <c r="F21" s="17" t="s">
        <v>106</v>
      </c>
      <c r="G21" s="15" t="s">
        <v>44</v>
      </c>
      <c r="H21" s="5" t="s">
        <v>23</v>
      </c>
      <c r="I21" s="9" t="s">
        <v>24</v>
      </c>
      <c r="J21" s="9" t="s">
        <v>107</v>
      </c>
      <c r="K21" s="10" t="n">
        <f aca="false">J21-I21+1</f>
        <v>5</v>
      </c>
      <c r="L21" s="5" t="s">
        <v>26</v>
      </c>
      <c r="M21" s="6" t="s">
        <v>108</v>
      </c>
      <c r="N21" s="6" t="s">
        <v>109</v>
      </c>
    </row>
    <row r="22" customFormat="false" ht="60" hidden="false" customHeight="true" outlineLevel="0" collapsed="false">
      <c r="A22" s="11" t="n">
        <v>16</v>
      </c>
      <c r="B22" s="11" t="s">
        <v>17</v>
      </c>
      <c r="C22" s="11" t="s">
        <v>103</v>
      </c>
      <c r="D22" s="12" t="s">
        <v>110</v>
      </c>
      <c r="E22" s="12" t="s">
        <v>111</v>
      </c>
      <c r="F22" s="17" t="s">
        <v>106</v>
      </c>
      <c r="G22" s="15" t="s">
        <v>44</v>
      </c>
      <c r="H22" s="11" t="s">
        <v>23</v>
      </c>
      <c r="I22" s="13" t="s">
        <v>24</v>
      </c>
      <c r="J22" s="13" t="s">
        <v>32</v>
      </c>
      <c r="K22" s="14" t="n">
        <f aca="false">J22-I22+1</f>
        <v>12</v>
      </c>
      <c r="L22" s="11" t="s">
        <v>26</v>
      </c>
      <c r="M22" s="12" t="s">
        <v>112</v>
      </c>
      <c r="N22" s="12" t="s">
        <v>113</v>
      </c>
    </row>
    <row r="23" customFormat="false" ht="60" hidden="false" customHeight="true" outlineLevel="0" collapsed="false">
      <c r="A23" s="5" t="n">
        <v>17</v>
      </c>
      <c r="B23" s="5" t="s">
        <v>17</v>
      </c>
      <c r="C23" s="5" t="s">
        <v>114</v>
      </c>
      <c r="D23" s="6" t="s">
        <v>115</v>
      </c>
      <c r="E23" s="6" t="s">
        <v>116</v>
      </c>
      <c r="F23" s="17" t="s">
        <v>106</v>
      </c>
      <c r="G23" s="15" t="s">
        <v>44</v>
      </c>
      <c r="H23" s="5" t="s">
        <v>23</v>
      </c>
      <c r="I23" s="9" t="s">
        <v>24</v>
      </c>
      <c r="J23" s="9" t="s">
        <v>107</v>
      </c>
      <c r="K23" s="10" t="n">
        <f aca="false">J23-I23+1</f>
        <v>5</v>
      </c>
      <c r="L23" s="5" t="s">
        <v>26</v>
      </c>
      <c r="M23" s="6" t="s">
        <v>117</v>
      </c>
      <c r="N23" s="6" t="s">
        <v>118</v>
      </c>
    </row>
    <row r="24" customFormat="false" ht="60" hidden="false" customHeight="true" outlineLevel="0" collapsed="false">
      <c r="A24" s="11" t="n">
        <v>18</v>
      </c>
      <c r="B24" s="11" t="s">
        <v>17</v>
      </c>
      <c r="C24" s="11" t="s">
        <v>103</v>
      </c>
      <c r="D24" s="12" t="s">
        <v>119</v>
      </c>
      <c r="E24" s="12" t="s">
        <v>120</v>
      </c>
      <c r="F24" s="17" t="s">
        <v>106</v>
      </c>
      <c r="G24" s="15" t="s">
        <v>44</v>
      </c>
      <c r="H24" s="11" t="s">
        <v>23</v>
      </c>
      <c r="I24" s="13" t="s">
        <v>24</v>
      </c>
      <c r="J24" s="13" t="s">
        <v>38</v>
      </c>
      <c r="K24" s="14" t="n">
        <f aca="false">J24-I24+1</f>
        <v>8</v>
      </c>
      <c r="L24" s="11" t="s">
        <v>26</v>
      </c>
      <c r="M24" s="12" t="s">
        <v>121</v>
      </c>
      <c r="N24" s="12" t="s">
        <v>122</v>
      </c>
    </row>
    <row r="25" customFormat="false" ht="60" hidden="false" customHeight="true" outlineLevel="0" collapsed="false">
      <c r="A25" s="5" t="n">
        <v>19</v>
      </c>
      <c r="B25" s="5" t="s">
        <v>17</v>
      </c>
      <c r="C25" s="5" t="s">
        <v>103</v>
      </c>
      <c r="D25" s="6" t="s">
        <v>123</v>
      </c>
      <c r="E25" s="6" t="s">
        <v>124</v>
      </c>
      <c r="F25" s="17" t="s">
        <v>106</v>
      </c>
      <c r="G25" s="15" t="s">
        <v>44</v>
      </c>
      <c r="H25" s="5" t="s">
        <v>23</v>
      </c>
      <c r="I25" s="9" t="s">
        <v>38</v>
      </c>
      <c r="J25" s="9" t="s">
        <v>66</v>
      </c>
      <c r="K25" s="10" t="n">
        <f aca="false">J25-I25+1</f>
        <v>12</v>
      </c>
      <c r="L25" s="5" t="s">
        <v>26</v>
      </c>
      <c r="M25" s="6" t="s">
        <v>125</v>
      </c>
      <c r="N25" s="6" t="s">
        <v>126</v>
      </c>
    </row>
    <row r="26" customFormat="false" ht="60" hidden="false" customHeight="true" outlineLevel="0" collapsed="false">
      <c r="A26" s="11" t="n">
        <v>20</v>
      </c>
      <c r="B26" s="11" t="s">
        <v>17</v>
      </c>
      <c r="C26" s="11" t="s">
        <v>103</v>
      </c>
      <c r="D26" s="12" t="s">
        <v>127</v>
      </c>
      <c r="E26" s="12" t="s">
        <v>128</v>
      </c>
      <c r="F26" s="17" t="s">
        <v>106</v>
      </c>
      <c r="G26" s="16" t="s">
        <v>75</v>
      </c>
      <c r="H26" s="11" t="s">
        <v>129</v>
      </c>
      <c r="I26" s="13" t="s">
        <v>46</v>
      </c>
      <c r="J26" s="13" t="s">
        <v>88</v>
      </c>
      <c r="K26" s="14" t="n">
        <f aca="false">J26-I26+1</f>
        <v>8</v>
      </c>
      <c r="L26" s="11" t="s">
        <v>26</v>
      </c>
      <c r="M26" s="12" t="s">
        <v>130</v>
      </c>
      <c r="N26" s="12" t="s">
        <v>131</v>
      </c>
    </row>
    <row r="27" customFormat="false" ht="60" hidden="false" customHeight="true" outlineLevel="0" collapsed="false">
      <c r="A27" s="5" t="n">
        <v>21</v>
      </c>
      <c r="B27" s="5" t="s">
        <v>17</v>
      </c>
      <c r="C27" s="5" t="s">
        <v>103</v>
      </c>
      <c r="D27" s="6" t="s">
        <v>132</v>
      </c>
      <c r="E27" s="6" t="s">
        <v>133</v>
      </c>
      <c r="F27" s="17" t="s">
        <v>106</v>
      </c>
      <c r="G27" s="16" t="s">
        <v>75</v>
      </c>
      <c r="H27" s="5" t="s">
        <v>23</v>
      </c>
      <c r="I27" s="9" t="s">
        <v>24</v>
      </c>
      <c r="J27" s="9" t="s">
        <v>25</v>
      </c>
      <c r="K27" s="10" t="n">
        <f aca="false">J27-I27+1</f>
        <v>3</v>
      </c>
      <c r="L27" s="5" t="s">
        <v>26</v>
      </c>
      <c r="M27" s="6" t="s">
        <v>134</v>
      </c>
      <c r="N27" s="6" t="s">
        <v>135</v>
      </c>
    </row>
    <row r="28" customFormat="false" ht="60" hidden="false" customHeight="true" outlineLevel="0" collapsed="false">
      <c r="A28" s="11" t="n">
        <v>22</v>
      </c>
      <c r="B28" s="11" t="s">
        <v>17</v>
      </c>
      <c r="C28" s="11" t="s">
        <v>136</v>
      </c>
      <c r="D28" s="12" t="s">
        <v>137</v>
      </c>
      <c r="E28" s="12" t="s">
        <v>138</v>
      </c>
      <c r="F28" s="17" t="s">
        <v>106</v>
      </c>
      <c r="G28" s="8" t="s">
        <v>22</v>
      </c>
      <c r="H28" s="11" t="s">
        <v>23</v>
      </c>
      <c r="I28" s="13" t="s">
        <v>24</v>
      </c>
      <c r="J28" s="13" t="s">
        <v>66</v>
      </c>
      <c r="K28" s="14" t="n">
        <f aca="false">J28-I28+1</f>
        <v>19</v>
      </c>
      <c r="L28" s="11" t="s">
        <v>26</v>
      </c>
      <c r="M28" s="12" t="s">
        <v>139</v>
      </c>
      <c r="N28" s="12" t="s">
        <v>140</v>
      </c>
    </row>
    <row r="29" customFormat="false" ht="24" hidden="false" customHeight="true" outlineLevel="0" collapsed="false">
      <c r="A29" s="4" t="s">
        <v>141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60" hidden="false" customHeight="true" outlineLevel="0" collapsed="false">
      <c r="A30" s="5" t="n">
        <v>23</v>
      </c>
      <c r="B30" s="5" t="s">
        <v>17</v>
      </c>
      <c r="C30" s="5" t="s">
        <v>103</v>
      </c>
      <c r="D30" s="6" t="s">
        <v>142</v>
      </c>
      <c r="E30" s="6" t="s">
        <v>143</v>
      </c>
      <c r="F30" s="17" t="s">
        <v>106</v>
      </c>
      <c r="G30" s="15" t="s">
        <v>44</v>
      </c>
      <c r="H30" s="5" t="s">
        <v>23</v>
      </c>
      <c r="I30" s="9" t="s">
        <v>144</v>
      </c>
      <c r="J30" s="9" t="s">
        <v>93</v>
      </c>
      <c r="K30" s="10" t="n">
        <f aca="false">J30-I30+1</f>
        <v>13</v>
      </c>
      <c r="L30" s="5" t="s">
        <v>26</v>
      </c>
      <c r="M30" s="6" t="s">
        <v>112</v>
      </c>
      <c r="N30" s="6" t="s">
        <v>145</v>
      </c>
    </row>
    <row r="31" customFormat="false" ht="60" hidden="false" customHeight="true" outlineLevel="0" collapsed="false">
      <c r="A31" s="11" t="n">
        <v>24</v>
      </c>
      <c r="B31" s="11" t="s">
        <v>17</v>
      </c>
      <c r="C31" s="11" t="s">
        <v>103</v>
      </c>
      <c r="D31" s="12" t="s">
        <v>146</v>
      </c>
      <c r="E31" s="12" t="s">
        <v>147</v>
      </c>
      <c r="F31" s="17" t="s">
        <v>106</v>
      </c>
      <c r="G31" s="16" t="s">
        <v>75</v>
      </c>
      <c r="H31" s="11" t="s">
        <v>23</v>
      </c>
      <c r="I31" s="13" t="s">
        <v>46</v>
      </c>
      <c r="J31" s="13" t="s">
        <v>93</v>
      </c>
      <c r="K31" s="14" t="n">
        <f aca="false">J31-I31+1</f>
        <v>12</v>
      </c>
      <c r="L31" s="11" t="s">
        <v>26</v>
      </c>
      <c r="M31" s="12" t="s">
        <v>148</v>
      </c>
      <c r="N31" s="12" t="s">
        <v>149</v>
      </c>
    </row>
    <row r="32" customFormat="false" ht="60" hidden="false" customHeight="true" outlineLevel="0" collapsed="false">
      <c r="A32" s="5" t="n">
        <v>25</v>
      </c>
      <c r="B32" s="5" t="s">
        <v>17</v>
      </c>
      <c r="C32" s="5" t="s">
        <v>103</v>
      </c>
      <c r="D32" s="6" t="s">
        <v>150</v>
      </c>
      <c r="E32" s="6" t="s">
        <v>151</v>
      </c>
      <c r="F32" s="17" t="s">
        <v>106</v>
      </c>
      <c r="G32" s="15" t="s">
        <v>44</v>
      </c>
      <c r="H32" s="5" t="s">
        <v>23</v>
      </c>
      <c r="I32" s="9" t="s">
        <v>46</v>
      </c>
      <c r="J32" s="9" t="s">
        <v>88</v>
      </c>
      <c r="K32" s="10" t="n">
        <f aca="false">J32-I32+1</f>
        <v>8</v>
      </c>
      <c r="L32" s="5" t="s">
        <v>26</v>
      </c>
      <c r="M32" s="6" t="s">
        <v>152</v>
      </c>
      <c r="N32" s="6" t="s">
        <v>153</v>
      </c>
    </row>
    <row r="33" customFormat="false" ht="60" hidden="false" customHeight="true" outlineLevel="0" collapsed="false">
      <c r="A33" s="11" t="n">
        <v>26</v>
      </c>
      <c r="B33" s="11" t="s">
        <v>17</v>
      </c>
      <c r="C33" s="11" t="s">
        <v>114</v>
      </c>
      <c r="D33" s="12" t="s">
        <v>154</v>
      </c>
      <c r="E33" s="12" t="s">
        <v>155</v>
      </c>
      <c r="F33" s="17" t="s">
        <v>106</v>
      </c>
      <c r="G33" s="16" t="s">
        <v>75</v>
      </c>
      <c r="H33" s="11" t="s">
        <v>23</v>
      </c>
      <c r="I33" s="13" t="s">
        <v>46</v>
      </c>
      <c r="J33" s="13" t="s">
        <v>93</v>
      </c>
      <c r="K33" s="14" t="n">
        <f aca="false">J33-I33+1</f>
        <v>12</v>
      </c>
      <c r="L33" s="11" t="s">
        <v>26</v>
      </c>
      <c r="M33" s="12" t="s">
        <v>156</v>
      </c>
      <c r="N33" s="12" t="s">
        <v>157</v>
      </c>
    </row>
    <row r="34" customFormat="false" ht="60" hidden="false" customHeight="true" outlineLevel="0" collapsed="false">
      <c r="A34" s="5" t="n">
        <v>27</v>
      </c>
      <c r="B34" s="5" t="s">
        <v>17</v>
      </c>
      <c r="C34" s="5" t="s">
        <v>103</v>
      </c>
      <c r="D34" s="6" t="s">
        <v>158</v>
      </c>
      <c r="E34" s="6" t="s">
        <v>159</v>
      </c>
      <c r="F34" s="17" t="s">
        <v>106</v>
      </c>
      <c r="G34" s="15" t="s">
        <v>44</v>
      </c>
      <c r="H34" s="5" t="s">
        <v>23</v>
      </c>
      <c r="I34" s="9" t="s">
        <v>88</v>
      </c>
      <c r="J34" s="9" t="s">
        <v>160</v>
      </c>
      <c r="K34" s="10" t="n">
        <f aca="false">J34-I34+1</f>
        <v>12</v>
      </c>
      <c r="L34" s="5" t="s">
        <v>26</v>
      </c>
      <c r="M34" s="6" t="s">
        <v>161</v>
      </c>
      <c r="N34" s="6" t="s">
        <v>162</v>
      </c>
    </row>
    <row r="35" customFormat="false" ht="24" hidden="false" customHeight="true" outlineLevel="0" collapsed="false">
      <c r="A35" s="4" t="s">
        <v>163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60" hidden="false" customHeight="true" outlineLevel="0" collapsed="false">
      <c r="A36" s="11" t="n">
        <v>28</v>
      </c>
      <c r="B36" s="11" t="s">
        <v>17</v>
      </c>
      <c r="C36" s="11" t="s">
        <v>103</v>
      </c>
      <c r="D36" s="12" t="s">
        <v>164</v>
      </c>
      <c r="E36" s="12" t="s">
        <v>165</v>
      </c>
      <c r="F36" s="17" t="s">
        <v>106</v>
      </c>
      <c r="G36" s="15" t="s">
        <v>44</v>
      </c>
      <c r="H36" s="11" t="s">
        <v>166</v>
      </c>
      <c r="I36" s="13" t="s">
        <v>82</v>
      </c>
      <c r="J36" s="13" t="s">
        <v>99</v>
      </c>
      <c r="K36" s="14" t="n">
        <f aca="false">J36-I36+1</f>
        <v>12</v>
      </c>
      <c r="L36" s="11" t="s">
        <v>26</v>
      </c>
      <c r="M36" s="12" t="s">
        <v>167</v>
      </c>
      <c r="N36" s="12" t="s">
        <v>168</v>
      </c>
    </row>
    <row r="37" customFormat="false" ht="60" hidden="false" customHeight="true" outlineLevel="0" collapsed="false">
      <c r="A37" s="5" t="n">
        <v>29</v>
      </c>
      <c r="B37" s="5" t="s">
        <v>17</v>
      </c>
      <c r="C37" s="5" t="s">
        <v>103</v>
      </c>
      <c r="D37" s="6" t="s">
        <v>169</v>
      </c>
      <c r="E37" s="6" t="s">
        <v>170</v>
      </c>
      <c r="F37" s="17" t="s">
        <v>106</v>
      </c>
      <c r="G37" s="15" t="s">
        <v>44</v>
      </c>
      <c r="H37" s="5" t="s">
        <v>23</v>
      </c>
      <c r="I37" s="9" t="s">
        <v>82</v>
      </c>
      <c r="J37" s="9" t="s">
        <v>99</v>
      </c>
      <c r="K37" s="10" t="n">
        <f aca="false">J37-I37+1</f>
        <v>12</v>
      </c>
      <c r="L37" s="5" t="s">
        <v>26</v>
      </c>
      <c r="M37" s="6" t="s">
        <v>171</v>
      </c>
      <c r="N37" s="6" t="s">
        <v>172</v>
      </c>
    </row>
    <row r="38" customFormat="false" ht="60" hidden="false" customHeight="true" outlineLevel="0" collapsed="false">
      <c r="A38" s="11" t="n">
        <v>30</v>
      </c>
      <c r="B38" s="11" t="s">
        <v>17</v>
      </c>
      <c r="C38" s="11" t="s">
        <v>103</v>
      </c>
      <c r="D38" s="12" t="s">
        <v>173</v>
      </c>
      <c r="E38" s="12" t="s">
        <v>174</v>
      </c>
      <c r="F38" s="17" t="s">
        <v>106</v>
      </c>
      <c r="G38" s="15" t="s">
        <v>44</v>
      </c>
      <c r="H38" s="11" t="s">
        <v>175</v>
      </c>
      <c r="I38" s="13" t="s">
        <v>160</v>
      </c>
      <c r="J38" s="13" t="s">
        <v>99</v>
      </c>
      <c r="K38" s="14" t="n">
        <f aca="false">J38-I38+1</f>
        <v>8</v>
      </c>
      <c r="L38" s="11" t="s">
        <v>26</v>
      </c>
      <c r="M38" s="12" t="s">
        <v>176</v>
      </c>
      <c r="N38" s="12" t="s">
        <v>177</v>
      </c>
    </row>
    <row r="39" customFormat="false" ht="60" hidden="false" customHeight="true" outlineLevel="0" collapsed="false">
      <c r="A39" s="5" t="n">
        <v>31</v>
      </c>
      <c r="B39" s="5" t="s">
        <v>17</v>
      </c>
      <c r="C39" s="5" t="s">
        <v>178</v>
      </c>
      <c r="D39" s="6" t="s">
        <v>179</v>
      </c>
      <c r="E39" s="6" t="s">
        <v>180</v>
      </c>
      <c r="F39" s="17" t="s">
        <v>106</v>
      </c>
      <c r="G39" s="15" t="s">
        <v>44</v>
      </c>
      <c r="H39" s="5" t="s">
        <v>181</v>
      </c>
      <c r="I39" s="9" t="s">
        <v>99</v>
      </c>
      <c r="J39" s="9" t="s">
        <v>182</v>
      </c>
      <c r="K39" s="10" t="n">
        <f aca="false">J39-I39+1</f>
        <v>4</v>
      </c>
      <c r="L39" s="5" t="s">
        <v>26</v>
      </c>
      <c r="M39" s="6" t="s">
        <v>183</v>
      </c>
      <c r="N39" s="6" t="s">
        <v>184</v>
      </c>
    </row>
    <row r="40" customFormat="false" ht="60" hidden="false" customHeight="true" outlineLevel="0" collapsed="false">
      <c r="A40" s="11" t="n">
        <v>32</v>
      </c>
      <c r="B40" s="11" t="s">
        <v>17</v>
      </c>
      <c r="C40" s="11" t="s">
        <v>103</v>
      </c>
      <c r="D40" s="12" t="s">
        <v>185</v>
      </c>
      <c r="E40" s="12" t="s">
        <v>186</v>
      </c>
      <c r="F40" s="17" t="s">
        <v>106</v>
      </c>
      <c r="G40" s="8" t="s">
        <v>22</v>
      </c>
      <c r="H40" s="11" t="s">
        <v>23</v>
      </c>
      <c r="I40" s="13" t="s">
        <v>99</v>
      </c>
      <c r="J40" s="13" t="s">
        <v>187</v>
      </c>
      <c r="K40" s="14" t="n">
        <f aca="false">J40-I40+1</f>
        <v>5</v>
      </c>
      <c r="L40" s="11" t="s">
        <v>26</v>
      </c>
      <c r="M40" s="12" t="s">
        <v>188</v>
      </c>
      <c r="N40" s="12" t="s">
        <v>189</v>
      </c>
    </row>
    <row r="41" customFormat="false" ht="60" hidden="false" customHeight="true" outlineLevel="0" collapsed="false">
      <c r="A41" s="5" t="n">
        <v>33</v>
      </c>
      <c r="B41" s="5" t="s">
        <v>17</v>
      </c>
      <c r="C41" s="5" t="s">
        <v>18</v>
      </c>
      <c r="D41" s="6" t="s">
        <v>190</v>
      </c>
      <c r="E41" s="6" t="s">
        <v>191</v>
      </c>
      <c r="F41" s="7" t="s">
        <v>21</v>
      </c>
      <c r="G41" s="15" t="s">
        <v>44</v>
      </c>
      <c r="H41" s="5" t="s">
        <v>192</v>
      </c>
      <c r="I41" s="9" t="s">
        <v>160</v>
      </c>
      <c r="J41" s="9" t="s">
        <v>99</v>
      </c>
      <c r="K41" s="10" t="n">
        <f aca="false">J41-I41+1</f>
        <v>8</v>
      </c>
      <c r="L41" s="5" t="s">
        <v>26</v>
      </c>
      <c r="M41" s="6" t="s">
        <v>193</v>
      </c>
      <c r="N41" s="6" t="s">
        <v>194</v>
      </c>
    </row>
    <row r="42" customFormat="false" ht="24" hidden="false" customHeight="true" outlineLevel="0" collapsed="false">
      <c r="A42" s="18" t="s">
        <v>195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customFormat="false" ht="60" hidden="false" customHeight="true" outlineLevel="0" collapsed="false">
      <c r="A43" s="11" t="n">
        <v>34</v>
      </c>
      <c r="B43" s="11" t="s">
        <v>196</v>
      </c>
      <c r="C43" s="11" t="s">
        <v>103</v>
      </c>
      <c r="D43" s="12" t="s">
        <v>197</v>
      </c>
      <c r="E43" s="12" t="s">
        <v>198</v>
      </c>
      <c r="F43" s="17" t="s">
        <v>106</v>
      </c>
      <c r="G43" s="8" t="s">
        <v>22</v>
      </c>
      <c r="H43" s="11" t="s">
        <v>199</v>
      </c>
      <c r="I43" s="13" t="s">
        <v>187</v>
      </c>
      <c r="J43" s="13" t="s">
        <v>187</v>
      </c>
      <c r="K43" s="14" t="n">
        <f aca="false">J43-I43+1</f>
        <v>1</v>
      </c>
      <c r="L43" s="11" t="s">
        <v>26</v>
      </c>
      <c r="M43" s="12" t="s">
        <v>200</v>
      </c>
      <c r="N43" s="12" t="s">
        <v>201</v>
      </c>
    </row>
    <row r="44" customFormat="false" ht="60" hidden="false" customHeight="true" outlineLevel="0" collapsed="false">
      <c r="A44" s="5" t="n">
        <v>35</v>
      </c>
      <c r="B44" s="5" t="s">
        <v>196</v>
      </c>
      <c r="C44" s="5" t="s">
        <v>103</v>
      </c>
      <c r="D44" s="6" t="s">
        <v>202</v>
      </c>
      <c r="E44" s="6" t="s">
        <v>203</v>
      </c>
      <c r="F44" s="17" t="s">
        <v>106</v>
      </c>
      <c r="G44" s="15" t="s">
        <v>44</v>
      </c>
      <c r="H44" s="5" t="s">
        <v>204</v>
      </c>
      <c r="I44" s="9" t="s">
        <v>187</v>
      </c>
      <c r="J44" s="9" t="s">
        <v>205</v>
      </c>
      <c r="K44" s="10" t="n">
        <f aca="false">J44-I44+1</f>
        <v>7</v>
      </c>
      <c r="L44" s="5" t="s">
        <v>26</v>
      </c>
      <c r="M44" s="6" t="s">
        <v>206</v>
      </c>
      <c r="N44" s="6" t="s">
        <v>207</v>
      </c>
    </row>
    <row r="45" customFormat="false" ht="60" hidden="false" customHeight="true" outlineLevel="0" collapsed="false">
      <c r="A45" s="11" t="n">
        <v>36</v>
      </c>
      <c r="B45" s="11" t="s">
        <v>196</v>
      </c>
      <c r="C45" s="11" t="s">
        <v>18</v>
      </c>
      <c r="D45" s="12" t="s">
        <v>208</v>
      </c>
      <c r="E45" s="12" t="s">
        <v>209</v>
      </c>
      <c r="F45" s="7" t="s">
        <v>21</v>
      </c>
      <c r="G45" s="8" t="s">
        <v>22</v>
      </c>
      <c r="H45" s="11" t="s">
        <v>210</v>
      </c>
      <c r="I45" s="13" t="s">
        <v>187</v>
      </c>
      <c r="J45" s="13" t="s">
        <v>205</v>
      </c>
      <c r="K45" s="14" t="n">
        <f aca="false">J45-I45+1</f>
        <v>7</v>
      </c>
      <c r="L45" s="11" t="s">
        <v>26</v>
      </c>
      <c r="M45" s="12" t="s">
        <v>211</v>
      </c>
      <c r="N45" s="12" t="s">
        <v>212</v>
      </c>
    </row>
    <row r="46" customFormat="false" ht="60" hidden="false" customHeight="true" outlineLevel="0" collapsed="false">
      <c r="A46" s="5" t="n">
        <v>37</v>
      </c>
      <c r="B46" s="5" t="s">
        <v>196</v>
      </c>
      <c r="C46" s="5" t="s">
        <v>114</v>
      </c>
      <c r="D46" s="6" t="s">
        <v>213</v>
      </c>
      <c r="E46" s="6" t="s">
        <v>214</v>
      </c>
      <c r="F46" s="17" t="s">
        <v>106</v>
      </c>
      <c r="G46" s="8" t="s">
        <v>22</v>
      </c>
      <c r="H46" s="5" t="s">
        <v>204</v>
      </c>
      <c r="I46" s="9" t="s">
        <v>187</v>
      </c>
      <c r="J46" s="9" t="s">
        <v>205</v>
      </c>
      <c r="K46" s="10" t="n">
        <f aca="false">J46-I46+1</f>
        <v>7</v>
      </c>
      <c r="L46" s="5" t="s">
        <v>26</v>
      </c>
      <c r="M46" s="6" t="s">
        <v>215</v>
      </c>
      <c r="N46" s="6" t="s">
        <v>216</v>
      </c>
    </row>
    <row r="47" customFormat="false" ht="60" hidden="false" customHeight="true" outlineLevel="0" collapsed="false">
      <c r="A47" s="11" t="n">
        <v>38</v>
      </c>
      <c r="B47" s="11" t="s">
        <v>196</v>
      </c>
      <c r="C47" s="11" t="s">
        <v>18</v>
      </c>
      <c r="D47" s="12" t="s">
        <v>217</v>
      </c>
      <c r="E47" s="12" t="s">
        <v>218</v>
      </c>
      <c r="F47" s="7" t="s">
        <v>21</v>
      </c>
      <c r="G47" s="8" t="s">
        <v>22</v>
      </c>
      <c r="H47" s="11" t="s">
        <v>219</v>
      </c>
      <c r="I47" s="13" t="s">
        <v>220</v>
      </c>
      <c r="J47" s="13" t="s">
        <v>205</v>
      </c>
      <c r="K47" s="14" t="n">
        <f aca="false">J47-I47+1</f>
        <v>6</v>
      </c>
      <c r="L47" s="11" t="s">
        <v>26</v>
      </c>
      <c r="M47" s="12" t="s">
        <v>221</v>
      </c>
      <c r="N47" s="12" t="s">
        <v>222</v>
      </c>
    </row>
    <row r="48" customFormat="false" ht="24" hidden="false" customHeight="true" outlineLevel="0" collapsed="false">
      <c r="A48" s="18" t="s">
        <v>223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customFormat="false" ht="60" hidden="false" customHeight="true" outlineLevel="0" collapsed="false">
      <c r="A49" s="5" t="n">
        <v>39</v>
      </c>
      <c r="B49" s="5" t="s">
        <v>196</v>
      </c>
      <c r="C49" s="5" t="s">
        <v>103</v>
      </c>
      <c r="D49" s="6" t="s">
        <v>224</v>
      </c>
      <c r="E49" s="6" t="s">
        <v>225</v>
      </c>
      <c r="F49" s="17" t="s">
        <v>106</v>
      </c>
      <c r="G49" s="15" t="s">
        <v>44</v>
      </c>
      <c r="H49" s="5" t="s">
        <v>226</v>
      </c>
      <c r="I49" s="9" t="s">
        <v>227</v>
      </c>
      <c r="J49" s="9" t="s">
        <v>228</v>
      </c>
      <c r="K49" s="10" t="n">
        <f aca="false">J49-I49+1</f>
        <v>3</v>
      </c>
      <c r="L49" s="5" t="s">
        <v>26</v>
      </c>
      <c r="M49" s="6" t="s">
        <v>229</v>
      </c>
      <c r="N49" s="6" t="s">
        <v>230</v>
      </c>
    </row>
    <row r="50" customFormat="false" ht="60" hidden="false" customHeight="true" outlineLevel="0" collapsed="false">
      <c r="A50" s="11" t="n">
        <v>40</v>
      </c>
      <c r="B50" s="11" t="s">
        <v>196</v>
      </c>
      <c r="C50" s="11" t="s">
        <v>103</v>
      </c>
      <c r="D50" s="12" t="s">
        <v>231</v>
      </c>
      <c r="E50" s="12" t="s">
        <v>232</v>
      </c>
      <c r="F50" s="17" t="s">
        <v>106</v>
      </c>
      <c r="G50" s="15" t="s">
        <v>44</v>
      </c>
      <c r="H50" s="11" t="s">
        <v>233</v>
      </c>
      <c r="I50" s="13" t="s">
        <v>227</v>
      </c>
      <c r="J50" s="13" t="s">
        <v>234</v>
      </c>
      <c r="K50" s="14" t="n">
        <f aca="false">J50-I50+1</f>
        <v>7</v>
      </c>
      <c r="L50" s="11" t="s">
        <v>26</v>
      </c>
      <c r="M50" s="12" t="s">
        <v>235</v>
      </c>
      <c r="N50" s="12" t="s">
        <v>236</v>
      </c>
    </row>
    <row r="51" customFormat="false" ht="60" hidden="false" customHeight="true" outlineLevel="0" collapsed="false">
      <c r="A51" s="5" t="n">
        <v>41</v>
      </c>
      <c r="B51" s="5" t="s">
        <v>196</v>
      </c>
      <c r="C51" s="5" t="s">
        <v>103</v>
      </c>
      <c r="D51" s="6" t="s">
        <v>237</v>
      </c>
      <c r="E51" s="6" t="s">
        <v>238</v>
      </c>
      <c r="F51" s="17" t="s">
        <v>106</v>
      </c>
      <c r="G51" s="15" t="s">
        <v>44</v>
      </c>
      <c r="H51" s="5" t="s">
        <v>239</v>
      </c>
      <c r="I51" s="9" t="s">
        <v>227</v>
      </c>
      <c r="J51" s="9" t="s">
        <v>240</v>
      </c>
      <c r="K51" s="10" t="n">
        <f aca="false">J51-I51+1</f>
        <v>23</v>
      </c>
      <c r="L51" s="5" t="s">
        <v>26</v>
      </c>
      <c r="M51" s="6" t="s">
        <v>241</v>
      </c>
      <c r="N51" s="6" t="s">
        <v>242</v>
      </c>
    </row>
    <row r="52" customFormat="false" ht="60" hidden="false" customHeight="true" outlineLevel="0" collapsed="false">
      <c r="A52" s="11" t="n">
        <v>42</v>
      </c>
      <c r="B52" s="11" t="s">
        <v>196</v>
      </c>
      <c r="C52" s="11" t="s">
        <v>103</v>
      </c>
      <c r="D52" s="12" t="s">
        <v>243</v>
      </c>
      <c r="E52" s="12" t="s">
        <v>244</v>
      </c>
      <c r="F52" s="17" t="s">
        <v>106</v>
      </c>
      <c r="G52" s="16" t="s">
        <v>75</v>
      </c>
      <c r="H52" s="11" t="s">
        <v>245</v>
      </c>
      <c r="I52" s="13" t="s">
        <v>227</v>
      </c>
      <c r="J52" s="13" t="s">
        <v>246</v>
      </c>
      <c r="K52" s="14" t="n">
        <f aca="false">J52-I52+1</f>
        <v>14</v>
      </c>
      <c r="L52" s="11" t="s">
        <v>26</v>
      </c>
      <c r="M52" s="12" t="s">
        <v>247</v>
      </c>
      <c r="N52" s="12" t="s">
        <v>248</v>
      </c>
    </row>
    <row r="53" customFormat="false" ht="60" hidden="false" customHeight="true" outlineLevel="0" collapsed="false">
      <c r="A53" s="5" t="n">
        <v>43</v>
      </c>
      <c r="B53" s="5" t="s">
        <v>196</v>
      </c>
      <c r="C53" s="5" t="s">
        <v>114</v>
      </c>
      <c r="D53" s="6" t="s">
        <v>249</v>
      </c>
      <c r="E53" s="6" t="s">
        <v>250</v>
      </c>
      <c r="F53" s="17" t="s">
        <v>106</v>
      </c>
      <c r="G53" s="15" t="s">
        <v>44</v>
      </c>
      <c r="H53" s="5" t="s">
        <v>251</v>
      </c>
      <c r="I53" s="9" t="s">
        <v>227</v>
      </c>
      <c r="J53" s="9" t="s">
        <v>246</v>
      </c>
      <c r="K53" s="10" t="n">
        <f aca="false">J53-I53+1</f>
        <v>14</v>
      </c>
      <c r="L53" s="5" t="s">
        <v>26</v>
      </c>
      <c r="M53" s="6" t="s">
        <v>252</v>
      </c>
      <c r="N53" s="6" t="s">
        <v>253</v>
      </c>
    </row>
    <row r="54" customFormat="false" ht="24" hidden="false" customHeight="true" outlineLevel="0" collapsed="false">
      <c r="A54" s="18" t="s">
        <v>254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customFormat="false" ht="60" hidden="false" customHeight="true" outlineLevel="0" collapsed="false">
      <c r="A55" s="11" t="n">
        <v>44</v>
      </c>
      <c r="B55" s="11" t="s">
        <v>196</v>
      </c>
      <c r="C55" s="11" t="s">
        <v>103</v>
      </c>
      <c r="D55" s="12" t="s">
        <v>255</v>
      </c>
      <c r="E55" s="12" t="s">
        <v>256</v>
      </c>
      <c r="F55" s="17" t="s">
        <v>106</v>
      </c>
      <c r="G55" s="8" t="s">
        <v>22</v>
      </c>
      <c r="H55" s="11" t="s">
        <v>257</v>
      </c>
      <c r="I55" s="13" t="s">
        <v>258</v>
      </c>
      <c r="J55" s="13" t="s">
        <v>259</v>
      </c>
      <c r="K55" s="14" t="n">
        <f aca="false">J55-I55+1</f>
        <v>8</v>
      </c>
      <c r="L55" s="11" t="s">
        <v>26</v>
      </c>
      <c r="M55" s="12" t="s">
        <v>260</v>
      </c>
      <c r="N55" s="12" t="s">
        <v>261</v>
      </c>
    </row>
    <row r="56" customFormat="false" ht="60" hidden="false" customHeight="true" outlineLevel="0" collapsed="false">
      <c r="A56" s="5" t="n">
        <v>45</v>
      </c>
      <c r="B56" s="5" t="s">
        <v>196</v>
      </c>
      <c r="C56" s="5" t="s">
        <v>18</v>
      </c>
      <c r="D56" s="6" t="s">
        <v>262</v>
      </c>
      <c r="E56" s="6" t="s">
        <v>263</v>
      </c>
      <c r="F56" s="7" t="s">
        <v>21</v>
      </c>
      <c r="G56" s="15" t="s">
        <v>44</v>
      </c>
      <c r="H56" s="5" t="s">
        <v>264</v>
      </c>
      <c r="I56" s="9" t="s">
        <v>259</v>
      </c>
      <c r="J56" s="9" t="s">
        <v>240</v>
      </c>
      <c r="K56" s="10" t="n">
        <f aca="false">J56-I56+1</f>
        <v>9</v>
      </c>
      <c r="L56" s="5" t="s">
        <v>26</v>
      </c>
      <c r="M56" s="6" t="s">
        <v>265</v>
      </c>
      <c r="N56" s="6" t="s">
        <v>266</v>
      </c>
    </row>
    <row r="57" customFormat="false" ht="60" hidden="false" customHeight="true" outlineLevel="0" collapsed="false">
      <c r="A57" s="11" t="n">
        <v>46</v>
      </c>
      <c r="B57" s="11" t="s">
        <v>196</v>
      </c>
      <c r="C57" s="11" t="s">
        <v>103</v>
      </c>
      <c r="D57" s="12" t="s">
        <v>267</v>
      </c>
      <c r="E57" s="12" t="s">
        <v>268</v>
      </c>
      <c r="F57" s="17" t="s">
        <v>106</v>
      </c>
      <c r="G57" s="15" t="s">
        <v>44</v>
      </c>
      <c r="H57" s="11" t="s">
        <v>269</v>
      </c>
      <c r="I57" s="13" t="s">
        <v>246</v>
      </c>
      <c r="J57" s="13" t="s">
        <v>240</v>
      </c>
      <c r="K57" s="14" t="n">
        <f aca="false">J57-I57+1</f>
        <v>10</v>
      </c>
      <c r="L57" s="11" t="s">
        <v>26</v>
      </c>
      <c r="M57" s="12" t="s">
        <v>270</v>
      </c>
      <c r="N57" s="12" t="s">
        <v>271</v>
      </c>
    </row>
    <row r="58" customFormat="false" ht="60" hidden="false" customHeight="true" outlineLevel="0" collapsed="false">
      <c r="A58" s="5" t="n">
        <v>47</v>
      </c>
      <c r="B58" s="5" t="s">
        <v>196</v>
      </c>
      <c r="C58" s="5" t="s">
        <v>103</v>
      </c>
      <c r="D58" s="6" t="s">
        <v>272</v>
      </c>
      <c r="E58" s="6" t="s">
        <v>273</v>
      </c>
      <c r="F58" s="17" t="s">
        <v>106</v>
      </c>
      <c r="G58" s="16" t="s">
        <v>75</v>
      </c>
      <c r="H58" s="5" t="s">
        <v>274</v>
      </c>
      <c r="I58" s="9" t="s">
        <v>258</v>
      </c>
      <c r="J58" s="9" t="s">
        <v>240</v>
      </c>
      <c r="K58" s="10" t="n">
        <f aca="false">J58-I58+1</f>
        <v>16</v>
      </c>
      <c r="L58" s="5" t="s">
        <v>26</v>
      </c>
      <c r="M58" s="6" t="s">
        <v>275</v>
      </c>
      <c r="N58" s="6" t="s">
        <v>276</v>
      </c>
    </row>
    <row r="59" customFormat="false" ht="60" hidden="false" customHeight="true" outlineLevel="0" collapsed="false">
      <c r="A59" s="11" t="n">
        <v>48</v>
      </c>
      <c r="B59" s="11" t="s">
        <v>196</v>
      </c>
      <c r="C59" s="11" t="s">
        <v>178</v>
      </c>
      <c r="D59" s="12" t="s">
        <v>277</v>
      </c>
      <c r="E59" s="12" t="s">
        <v>278</v>
      </c>
      <c r="F59" s="17" t="s">
        <v>106</v>
      </c>
      <c r="G59" s="8" t="s">
        <v>22</v>
      </c>
      <c r="H59" s="11" t="s">
        <v>279</v>
      </c>
      <c r="I59" s="13" t="s">
        <v>280</v>
      </c>
      <c r="J59" s="13" t="s">
        <v>240</v>
      </c>
      <c r="K59" s="14" t="n">
        <f aca="false">J59-I59+1</f>
        <v>3</v>
      </c>
      <c r="L59" s="11" t="s">
        <v>26</v>
      </c>
      <c r="M59" s="12" t="s">
        <v>281</v>
      </c>
      <c r="N59" s="12" t="s">
        <v>282</v>
      </c>
    </row>
    <row r="60" customFormat="false" ht="24" hidden="false" customHeight="true" outlineLevel="0" collapsed="false">
      <c r="A60" s="19" t="s">
        <v>283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customFormat="false" ht="60" hidden="false" customHeight="true" outlineLevel="0" collapsed="false">
      <c r="A61" s="5" t="n">
        <v>49</v>
      </c>
      <c r="B61" s="5" t="s">
        <v>284</v>
      </c>
      <c r="C61" s="5" t="s">
        <v>18</v>
      </c>
      <c r="D61" s="6" t="s">
        <v>285</v>
      </c>
      <c r="E61" s="6" t="s">
        <v>286</v>
      </c>
      <c r="F61" s="7" t="s">
        <v>21</v>
      </c>
      <c r="G61" s="8" t="s">
        <v>22</v>
      </c>
      <c r="H61" s="5" t="s">
        <v>287</v>
      </c>
      <c r="I61" s="9" t="s">
        <v>288</v>
      </c>
      <c r="J61" s="9" t="s">
        <v>289</v>
      </c>
      <c r="K61" s="10" t="n">
        <f aca="false">J61-I61+1</f>
        <v>7</v>
      </c>
      <c r="L61" s="5" t="s">
        <v>26</v>
      </c>
      <c r="M61" s="6" t="s">
        <v>290</v>
      </c>
      <c r="N61" s="6" t="s">
        <v>291</v>
      </c>
    </row>
    <row r="62" customFormat="false" ht="60" hidden="false" customHeight="true" outlineLevel="0" collapsed="false">
      <c r="A62" s="11" t="n">
        <v>50</v>
      </c>
      <c r="B62" s="11" t="s">
        <v>284</v>
      </c>
      <c r="C62" s="11" t="s">
        <v>18</v>
      </c>
      <c r="D62" s="12" t="s">
        <v>292</v>
      </c>
      <c r="E62" s="12" t="s">
        <v>293</v>
      </c>
      <c r="F62" s="7" t="s">
        <v>21</v>
      </c>
      <c r="G62" s="15" t="s">
        <v>44</v>
      </c>
      <c r="H62" s="11" t="s">
        <v>294</v>
      </c>
      <c r="I62" s="13" t="s">
        <v>288</v>
      </c>
      <c r="J62" s="13" t="s">
        <v>295</v>
      </c>
      <c r="K62" s="14" t="n">
        <f aca="false">J62-I62+1</f>
        <v>15</v>
      </c>
      <c r="L62" s="11" t="s">
        <v>26</v>
      </c>
      <c r="M62" s="12" t="s">
        <v>296</v>
      </c>
      <c r="N62" s="12" t="s">
        <v>297</v>
      </c>
    </row>
    <row r="63" customFormat="false" ht="60" hidden="false" customHeight="true" outlineLevel="0" collapsed="false">
      <c r="A63" s="5" t="n">
        <v>51</v>
      </c>
      <c r="B63" s="5" t="s">
        <v>284</v>
      </c>
      <c r="C63" s="5" t="s">
        <v>103</v>
      </c>
      <c r="D63" s="6" t="s">
        <v>298</v>
      </c>
      <c r="E63" s="6" t="s">
        <v>299</v>
      </c>
      <c r="F63" s="17" t="s">
        <v>106</v>
      </c>
      <c r="G63" s="8" t="s">
        <v>22</v>
      </c>
      <c r="H63" s="5" t="s">
        <v>300</v>
      </c>
      <c r="I63" s="9" t="s">
        <v>288</v>
      </c>
      <c r="J63" s="9" t="s">
        <v>301</v>
      </c>
      <c r="K63" s="10" t="n">
        <f aca="false">J63-I63+1</f>
        <v>5</v>
      </c>
      <c r="L63" s="5" t="s">
        <v>26</v>
      </c>
      <c r="M63" s="6" t="s">
        <v>302</v>
      </c>
      <c r="N63" s="6" t="s">
        <v>303</v>
      </c>
    </row>
    <row r="64" customFormat="false" ht="60" hidden="false" customHeight="true" outlineLevel="0" collapsed="false">
      <c r="A64" s="11" t="n">
        <v>52</v>
      </c>
      <c r="B64" s="11" t="s">
        <v>284</v>
      </c>
      <c r="C64" s="11" t="s">
        <v>103</v>
      </c>
      <c r="D64" s="12" t="s">
        <v>304</v>
      </c>
      <c r="E64" s="12" t="s">
        <v>305</v>
      </c>
      <c r="F64" s="17" t="s">
        <v>106</v>
      </c>
      <c r="G64" s="15" t="s">
        <v>44</v>
      </c>
      <c r="H64" s="11" t="s">
        <v>306</v>
      </c>
      <c r="I64" s="13" t="s">
        <v>301</v>
      </c>
      <c r="J64" s="13" t="s">
        <v>307</v>
      </c>
      <c r="K64" s="14" t="n">
        <f aca="false">J64-I64+1</f>
        <v>27</v>
      </c>
      <c r="L64" s="11" t="s">
        <v>26</v>
      </c>
      <c r="M64" s="12" t="s">
        <v>308</v>
      </c>
      <c r="N64" s="12" t="s">
        <v>309</v>
      </c>
    </row>
    <row r="65" customFormat="false" ht="60" hidden="false" customHeight="true" outlineLevel="0" collapsed="false">
      <c r="A65" s="5" t="n">
        <v>53</v>
      </c>
      <c r="B65" s="5" t="s">
        <v>284</v>
      </c>
      <c r="C65" s="5" t="s">
        <v>114</v>
      </c>
      <c r="D65" s="6" t="s">
        <v>310</v>
      </c>
      <c r="E65" s="6" t="s">
        <v>311</v>
      </c>
      <c r="F65" s="17" t="s">
        <v>106</v>
      </c>
      <c r="G65" s="8" t="s">
        <v>22</v>
      </c>
      <c r="H65" s="5" t="s">
        <v>251</v>
      </c>
      <c r="I65" s="9" t="s">
        <v>301</v>
      </c>
      <c r="J65" s="9" t="s">
        <v>307</v>
      </c>
      <c r="K65" s="10" t="n">
        <f aca="false">J65-I65+1</f>
        <v>27</v>
      </c>
      <c r="L65" s="5" t="s">
        <v>26</v>
      </c>
      <c r="M65" s="6" t="s">
        <v>312</v>
      </c>
      <c r="N65" s="6" t="s">
        <v>313</v>
      </c>
    </row>
    <row r="66" customFormat="false" ht="60" hidden="false" customHeight="true" outlineLevel="0" collapsed="false">
      <c r="A66" s="11" t="n">
        <v>54</v>
      </c>
      <c r="B66" s="11" t="s">
        <v>284</v>
      </c>
      <c r="C66" s="11" t="s">
        <v>114</v>
      </c>
      <c r="D66" s="12" t="s">
        <v>314</v>
      </c>
      <c r="E66" s="12" t="s">
        <v>315</v>
      </c>
      <c r="F66" s="17" t="s">
        <v>106</v>
      </c>
      <c r="G66" s="15" t="s">
        <v>44</v>
      </c>
      <c r="H66" s="11" t="s">
        <v>23</v>
      </c>
      <c r="I66" s="13" t="s">
        <v>301</v>
      </c>
      <c r="J66" s="13" t="s">
        <v>307</v>
      </c>
      <c r="K66" s="14" t="n">
        <f aca="false">J66-I66+1</f>
        <v>27</v>
      </c>
      <c r="L66" s="11" t="s">
        <v>26</v>
      </c>
      <c r="M66" s="12" t="s">
        <v>316</v>
      </c>
      <c r="N66" s="12" t="s">
        <v>317</v>
      </c>
    </row>
    <row r="67" customFormat="false" ht="60" hidden="false" customHeight="true" outlineLevel="0" collapsed="false">
      <c r="A67" s="5" t="n">
        <v>55</v>
      </c>
      <c r="B67" s="5" t="s">
        <v>284</v>
      </c>
      <c r="C67" s="5" t="s">
        <v>318</v>
      </c>
      <c r="D67" s="6" t="s">
        <v>319</v>
      </c>
      <c r="E67" s="6" t="s">
        <v>320</v>
      </c>
      <c r="F67" s="17" t="s">
        <v>106</v>
      </c>
      <c r="G67" s="15" t="s">
        <v>44</v>
      </c>
      <c r="H67" s="5" t="s">
        <v>321</v>
      </c>
      <c r="I67" s="9" t="s">
        <v>301</v>
      </c>
      <c r="J67" s="9" t="s">
        <v>307</v>
      </c>
      <c r="K67" s="10" t="n">
        <f aca="false">J67-I67+1</f>
        <v>27</v>
      </c>
      <c r="L67" s="5" t="s">
        <v>26</v>
      </c>
      <c r="M67" s="6" t="s">
        <v>322</v>
      </c>
      <c r="N67" s="6" t="s">
        <v>323</v>
      </c>
    </row>
    <row r="68" customFormat="false" ht="60" hidden="false" customHeight="true" outlineLevel="0" collapsed="false">
      <c r="A68" s="11" t="n">
        <v>56</v>
      </c>
      <c r="B68" s="11" t="s">
        <v>284</v>
      </c>
      <c r="C68" s="11" t="s">
        <v>103</v>
      </c>
      <c r="D68" s="12" t="s">
        <v>324</v>
      </c>
      <c r="E68" s="12" t="s">
        <v>325</v>
      </c>
      <c r="F68" s="17" t="s">
        <v>106</v>
      </c>
      <c r="G68" s="16" t="s">
        <v>75</v>
      </c>
      <c r="H68" s="11" t="s">
        <v>23</v>
      </c>
      <c r="I68" s="13" t="s">
        <v>288</v>
      </c>
      <c r="J68" s="13" t="s">
        <v>307</v>
      </c>
      <c r="K68" s="14" t="n">
        <f aca="false">J68-I68+1</f>
        <v>31</v>
      </c>
      <c r="L68" s="11" t="s">
        <v>26</v>
      </c>
      <c r="M68" s="12" t="s">
        <v>326</v>
      </c>
      <c r="N68" s="12" t="s">
        <v>327</v>
      </c>
    </row>
    <row r="69" customFormat="false" ht="60" hidden="false" customHeight="true" outlineLevel="0" collapsed="false">
      <c r="A69" s="5" t="n">
        <v>57</v>
      </c>
      <c r="B69" s="5" t="s">
        <v>284</v>
      </c>
      <c r="C69" s="5" t="s">
        <v>103</v>
      </c>
      <c r="D69" s="6" t="s">
        <v>328</v>
      </c>
      <c r="E69" s="6" t="s">
        <v>329</v>
      </c>
      <c r="F69" s="17" t="s">
        <v>106</v>
      </c>
      <c r="G69" s="16" t="s">
        <v>75</v>
      </c>
      <c r="H69" s="5" t="s">
        <v>330</v>
      </c>
      <c r="I69" s="9" t="s">
        <v>295</v>
      </c>
      <c r="J69" s="9" t="s">
        <v>307</v>
      </c>
      <c r="K69" s="10" t="n">
        <f aca="false">J69-I69+1</f>
        <v>17</v>
      </c>
      <c r="L69" s="5" t="s">
        <v>26</v>
      </c>
      <c r="M69" s="6" t="s">
        <v>331</v>
      </c>
      <c r="N69" s="6" t="s">
        <v>332</v>
      </c>
    </row>
    <row r="70" customFormat="false" ht="60" hidden="false" customHeight="true" outlineLevel="0" collapsed="false">
      <c r="A70" s="11" t="n">
        <v>58</v>
      </c>
      <c r="B70" s="11" t="s">
        <v>284</v>
      </c>
      <c r="C70" s="11" t="s">
        <v>103</v>
      </c>
      <c r="D70" s="12" t="s">
        <v>333</v>
      </c>
      <c r="E70" s="12" t="s">
        <v>334</v>
      </c>
      <c r="F70" s="17" t="s">
        <v>106</v>
      </c>
      <c r="G70" s="15" t="s">
        <v>44</v>
      </c>
      <c r="H70" s="11" t="s">
        <v>335</v>
      </c>
      <c r="I70" s="13" t="s">
        <v>301</v>
      </c>
      <c r="J70" s="13" t="s">
        <v>336</v>
      </c>
      <c r="K70" s="14" t="n">
        <f aca="false">J70-I70+1</f>
        <v>8</v>
      </c>
      <c r="L70" s="11" t="s">
        <v>26</v>
      </c>
      <c r="M70" s="12" t="s">
        <v>337</v>
      </c>
      <c r="N70" s="12" t="s">
        <v>338</v>
      </c>
    </row>
    <row r="71" customFormat="false" ht="60" hidden="false" customHeight="true" outlineLevel="0" collapsed="false">
      <c r="A71" s="5" t="n">
        <v>59</v>
      </c>
      <c r="B71" s="5" t="s">
        <v>284</v>
      </c>
      <c r="C71" s="5" t="s">
        <v>178</v>
      </c>
      <c r="D71" s="6" t="s">
        <v>339</v>
      </c>
      <c r="E71" s="6" t="s">
        <v>340</v>
      </c>
      <c r="F71" s="17" t="s">
        <v>106</v>
      </c>
      <c r="G71" s="8" t="s">
        <v>22</v>
      </c>
      <c r="H71" s="5" t="s">
        <v>279</v>
      </c>
      <c r="I71" s="9" t="s">
        <v>341</v>
      </c>
      <c r="J71" s="9" t="s">
        <v>307</v>
      </c>
      <c r="K71" s="10" t="n">
        <f aca="false">J71-I71+1</f>
        <v>4</v>
      </c>
      <c r="L71" s="5" t="s">
        <v>26</v>
      </c>
      <c r="M71" s="6" t="s">
        <v>342</v>
      </c>
      <c r="N71" s="6" t="s">
        <v>343</v>
      </c>
    </row>
    <row r="72" customFormat="false" ht="24" hidden="false" customHeight="true" outlineLevel="0" collapsed="false">
      <c r="A72" s="20" t="s">
        <v>344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customFormat="false" ht="60" hidden="false" customHeight="true" outlineLevel="0" collapsed="false">
      <c r="A73" s="11" t="n">
        <v>60</v>
      </c>
      <c r="B73" s="11" t="s">
        <v>345</v>
      </c>
      <c r="C73" s="11" t="s">
        <v>114</v>
      </c>
      <c r="D73" s="12" t="s">
        <v>346</v>
      </c>
      <c r="E73" s="12" t="s">
        <v>347</v>
      </c>
      <c r="F73" s="17" t="s">
        <v>106</v>
      </c>
      <c r="G73" s="8" t="s">
        <v>22</v>
      </c>
      <c r="H73" s="11" t="s">
        <v>348</v>
      </c>
      <c r="I73" s="13" t="s">
        <v>349</v>
      </c>
      <c r="J73" s="13" t="s">
        <v>350</v>
      </c>
      <c r="K73" s="14" t="n">
        <f aca="false">J73-I73+1</f>
        <v>30</v>
      </c>
      <c r="L73" s="11" t="s">
        <v>26</v>
      </c>
      <c r="M73" s="12" t="s">
        <v>351</v>
      </c>
      <c r="N73" s="12" t="s">
        <v>352</v>
      </c>
    </row>
    <row r="74" customFormat="false" ht="60" hidden="false" customHeight="true" outlineLevel="0" collapsed="false">
      <c r="A74" s="5" t="n">
        <v>61</v>
      </c>
      <c r="B74" s="5" t="s">
        <v>345</v>
      </c>
      <c r="C74" s="5" t="s">
        <v>18</v>
      </c>
      <c r="D74" s="6" t="s">
        <v>353</v>
      </c>
      <c r="E74" s="6" t="s">
        <v>354</v>
      </c>
      <c r="F74" s="7" t="s">
        <v>21</v>
      </c>
      <c r="G74" s="15" t="s">
        <v>44</v>
      </c>
      <c r="H74" s="5" t="s">
        <v>355</v>
      </c>
      <c r="I74" s="9" t="s">
        <v>349</v>
      </c>
      <c r="J74" s="9" t="s">
        <v>350</v>
      </c>
      <c r="K74" s="10" t="n">
        <f aca="false">J74-I74+1</f>
        <v>30</v>
      </c>
      <c r="L74" s="5" t="s">
        <v>26</v>
      </c>
      <c r="M74" s="6" t="s">
        <v>356</v>
      </c>
      <c r="N74" s="6" t="s">
        <v>357</v>
      </c>
    </row>
    <row r="75" customFormat="false" ht="60" hidden="false" customHeight="true" outlineLevel="0" collapsed="false">
      <c r="A75" s="11" t="n">
        <v>62</v>
      </c>
      <c r="B75" s="11" t="s">
        <v>345</v>
      </c>
      <c r="C75" s="11" t="s">
        <v>103</v>
      </c>
      <c r="D75" s="12" t="s">
        <v>358</v>
      </c>
      <c r="E75" s="12" t="s">
        <v>359</v>
      </c>
      <c r="F75" s="17" t="s">
        <v>106</v>
      </c>
      <c r="G75" s="15" t="s">
        <v>44</v>
      </c>
      <c r="H75" s="11" t="s">
        <v>360</v>
      </c>
      <c r="I75" s="13" t="s">
        <v>349</v>
      </c>
      <c r="J75" s="13" t="s">
        <v>361</v>
      </c>
      <c r="K75" s="14" t="n">
        <f aca="false">J75-I75+1</f>
        <v>122</v>
      </c>
      <c r="L75" s="11" t="s">
        <v>26</v>
      </c>
      <c r="M75" s="12" t="s">
        <v>362</v>
      </c>
      <c r="N75" s="12" t="s">
        <v>363</v>
      </c>
    </row>
    <row r="76" customFormat="false" ht="60" hidden="false" customHeight="true" outlineLevel="0" collapsed="false">
      <c r="A76" s="5" t="n">
        <v>63</v>
      </c>
      <c r="B76" s="5" t="s">
        <v>345</v>
      </c>
      <c r="C76" s="5" t="s">
        <v>114</v>
      </c>
      <c r="D76" s="6" t="s">
        <v>364</v>
      </c>
      <c r="E76" s="6" t="s">
        <v>365</v>
      </c>
      <c r="F76" s="17" t="s">
        <v>106</v>
      </c>
      <c r="G76" s="15" t="s">
        <v>44</v>
      </c>
      <c r="H76" s="5" t="s">
        <v>366</v>
      </c>
      <c r="I76" s="9" t="s">
        <v>367</v>
      </c>
      <c r="J76" s="9" t="s">
        <v>361</v>
      </c>
      <c r="K76" s="10" t="n">
        <f aca="false">J76-I76+1</f>
        <v>108</v>
      </c>
      <c r="L76" s="5" t="s">
        <v>26</v>
      </c>
      <c r="M76" s="6" t="s">
        <v>368</v>
      </c>
      <c r="N76" s="6" t="s">
        <v>369</v>
      </c>
    </row>
    <row r="77" customFormat="false" ht="60" hidden="false" customHeight="true" outlineLevel="0" collapsed="false">
      <c r="A77" s="11" t="n">
        <v>64</v>
      </c>
      <c r="B77" s="11" t="s">
        <v>345</v>
      </c>
      <c r="C77" s="11" t="s">
        <v>318</v>
      </c>
      <c r="D77" s="12" t="s">
        <v>370</v>
      </c>
      <c r="E77" s="12" t="s">
        <v>371</v>
      </c>
      <c r="F77" s="17" t="s">
        <v>106</v>
      </c>
      <c r="G77" s="15" t="s">
        <v>44</v>
      </c>
      <c r="H77" s="11" t="s">
        <v>372</v>
      </c>
      <c r="I77" s="13" t="s">
        <v>367</v>
      </c>
      <c r="J77" s="13" t="s">
        <v>361</v>
      </c>
      <c r="K77" s="14" t="n">
        <f aca="false">J77-I77+1</f>
        <v>108</v>
      </c>
      <c r="L77" s="11" t="s">
        <v>26</v>
      </c>
      <c r="M77" s="12" t="s">
        <v>373</v>
      </c>
      <c r="N77" s="12" t="s">
        <v>374</v>
      </c>
    </row>
    <row r="78" customFormat="false" ht="60" hidden="false" customHeight="true" outlineLevel="0" collapsed="false">
      <c r="A78" s="5" t="n">
        <v>65</v>
      </c>
      <c r="B78" s="5" t="s">
        <v>345</v>
      </c>
      <c r="C78" s="5" t="s">
        <v>178</v>
      </c>
      <c r="D78" s="6" t="s">
        <v>375</v>
      </c>
      <c r="E78" s="6" t="s">
        <v>376</v>
      </c>
      <c r="F78" s="17" t="s">
        <v>106</v>
      </c>
      <c r="G78" s="8" t="s">
        <v>22</v>
      </c>
      <c r="H78" s="5" t="s">
        <v>377</v>
      </c>
      <c r="I78" s="9" t="s">
        <v>350</v>
      </c>
      <c r="J78" s="9" t="s">
        <v>361</v>
      </c>
      <c r="K78" s="10" t="n">
        <f aca="false">J78-I78+1</f>
        <v>93</v>
      </c>
      <c r="L78" s="5" t="s">
        <v>26</v>
      </c>
      <c r="M78" s="6" t="s">
        <v>378</v>
      </c>
      <c r="N78" s="6" t="s">
        <v>379</v>
      </c>
    </row>
  </sheetData>
  <autoFilter ref="A4:N4"/>
  <mergeCells count="11">
    <mergeCell ref="A1:N1"/>
    <mergeCell ref="A2:N2"/>
    <mergeCell ref="A5:N5"/>
    <mergeCell ref="A20:N20"/>
    <mergeCell ref="A29:N29"/>
    <mergeCell ref="A35:N35"/>
    <mergeCell ref="A42:N42"/>
    <mergeCell ref="A48:N48"/>
    <mergeCell ref="A54:N54"/>
    <mergeCell ref="A60:N60"/>
    <mergeCell ref="A72:N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D26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2"/>
    <col collapsed="false" customWidth="true" hidden="false" outlineLevel="0" max="6" min="6" style="0" width="35"/>
  </cols>
  <sheetData>
    <row r="1" customFormat="false" ht="19.7" hidden="false" customHeight="false" outlineLevel="0" collapsed="false">
      <c r="A1" s="21" t="s">
        <v>380</v>
      </c>
      <c r="B1" s="21"/>
      <c r="C1" s="21"/>
      <c r="D1" s="21"/>
      <c r="E1" s="21"/>
      <c r="F1" s="21"/>
    </row>
    <row r="3" customFormat="false" ht="15" hidden="false" customHeight="false" outlineLevel="0" collapsed="false">
      <c r="A3" s="22" t="s">
        <v>381</v>
      </c>
    </row>
    <row r="4" customFormat="false" ht="15" hidden="false" customHeight="false" outlineLevel="0" collapsed="false">
      <c r="A4" s="3" t="s">
        <v>4</v>
      </c>
      <c r="B4" s="3" t="s">
        <v>106</v>
      </c>
      <c r="C4" s="3" t="s">
        <v>21</v>
      </c>
      <c r="D4" s="3" t="s">
        <v>382</v>
      </c>
      <c r="E4" s="3" t="s">
        <v>383</v>
      </c>
      <c r="F4" s="3" t="s">
        <v>384</v>
      </c>
    </row>
    <row r="5" customFormat="false" ht="15" hidden="false" customHeight="false" outlineLevel="0" collapsed="false">
      <c r="A5" s="23" t="s">
        <v>385</v>
      </c>
      <c r="B5" s="23" t="n">
        <v>0</v>
      </c>
      <c r="C5" s="23" t="n">
        <v>14</v>
      </c>
      <c r="D5" s="23" t="n">
        <v>14</v>
      </c>
      <c r="E5" s="23" t="n">
        <v>8</v>
      </c>
      <c r="F5" s="24" t="s">
        <v>386</v>
      </c>
    </row>
    <row r="6" customFormat="false" ht="15" hidden="false" customHeight="false" outlineLevel="0" collapsed="false">
      <c r="A6" s="23" t="s">
        <v>103</v>
      </c>
      <c r="B6" s="23" t="n">
        <v>16</v>
      </c>
      <c r="C6" s="23" t="n">
        <v>0</v>
      </c>
      <c r="D6" s="23" t="n">
        <v>16</v>
      </c>
      <c r="E6" s="23" t="n">
        <v>3</v>
      </c>
      <c r="F6" s="24" t="s">
        <v>387</v>
      </c>
    </row>
    <row r="7" customFormat="false" ht="15" hidden="false" customHeight="false" outlineLevel="0" collapsed="false">
      <c r="A7" s="23" t="s">
        <v>114</v>
      </c>
      <c r="B7" s="23" t="n">
        <v>5</v>
      </c>
      <c r="C7" s="23" t="n">
        <v>0</v>
      </c>
      <c r="D7" s="23" t="n">
        <v>5</v>
      </c>
      <c r="E7" s="23" t="n">
        <v>2</v>
      </c>
      <c r="F7" s="24" t="s">
        <v>388</v>
      </c>
    </row>
    <row r="8" customFormat="false" ht="15" hidden="false" customHeight="false" outlineLevel="0" collapsed="false">
      <c r="A8" s="23" t="s">
        <v>318</v>
      </c>
      <c r="B8" s="23" t="n">
        <v>2</v>
      </c>
      <c r="C8" s="23" t="n">
        <v>0</v>
      </c>
      <c r="D8" s="23" t="n">
        <v>2</v>
      </c>
      <c r="E8" s="23" t="n">
        <v>0</v>
      </c>
      <c r="F8" s="24" t="s">
        <v>389</v>
      </c>
    </row>
    <row r="9" customFormat="false" ht="15" hidden="false" customHeight="false" outlineLevel="0" collapsed="false">
      <c r="A9" s="23" t="s">
        <v>390</v>
      </c>
      <c r="B9" s="23" t="n">
        <v>4</v>
      </c>
      <c r="C9" s="23" t="n">
        <v>0</v>
      </c>
      <c r="D9" s="23" t="n">
        <v>4</v>
      </c>
      <c r="E9" s="23" t="n">
        <v>3</v>
      </c>
      <c r="F9" s="24" t="s">
        <v>391</v>
      </c>
    </row>
    <row r="10" customFormat="false" ht="15" hidden="false" customHeight="false" outlineLevel="0" collapsed="false">
      <c r="A10" s="25" t="s">
        <v>392</v>
      </c>
      <c r="B10" s="25" t="n">
        <v>27</v>
      </c>
      <c r="C10" s="25" t="n">
        <v>14</v>
      </c>
      <c r="D10" s="25" t="n">
        <v>41</v>
      </c>
      <c r="E10" s="25" t="n">
        <v>16</v>
      </c>
      <c r="F10" s="26"/>
    </row>
    <row r="13" customFormat="false" ht="15" hidden="false" customHeight="false" outlineLevel="0" collapsed="false">
      <c r="A13" s="22" t="s">
        <v>393</v>
      </c>
    </row>
    <row r="14" customFormat="false" ht="26.85" hidden="false" customHeight="false" outlineLevel="0" collapsed="false">
      <c r="A14" s="3" t="s">
        <v>394</v>
      </c>
      <c r="B14" s="3" t="s">
        <v>395</v>
      </c>
      <c r="C14" s="3" t="s">
        <v>396</v>
      </c>
      <c r="D14" s="3" t="s">
        <v>397</v>
      </c>
      <c r="E14" s="3" t="s">
        <v>398</v>
      </c>
    </row>
    <row r="15" customFormat="false" ht="35.05" hidden="false" customHeight="false" outlineLevel="0" collapsed="false">
      <c r="A15" s="23" t="s">
        <v>399</v>
      </c>
      <c r="B15" s="23" t="s">
        <v>400</v>
      </c>
      <c r="C15" s="23" t="s">
        <v>401</v>
      </c>
      <c r="D15" s="23" t="s">
        <v>402</v>
      </c>
      <c r="E15" s="24" t="s">
        <v>403</v>
      </c>
    </row>
    <row r="16" customFormat="false" ht="23.85" hidden="false" customHeight="false" outlineLevel="0" collapsed="false">
      <c r="A16" s="23" t="s">
        <v>404</v>
      </c>
      <c r="B16" s="23" t="s">
        <v>405</v>
      </c>
      <c r="C16" s="23" t="s">
        <v>406</v>
      </c>
      <c r="D16" s="23" t="s">
        <v>407</v>
      </c>
      <c r="E16" s="24" t="s">
        <v>408</v>
      </c>
    </row>
    <row r="17" customFormat="false" ht="35.05" hidden="false" customHeight="false" outlineLevel="0" collapsed="false">
      <c r="A17" s="23" t="s">
        <v>409</v>
      </c>
      <c r="B17" s="23" t="s">
        <v>400</v>
      </c>
      <c r="C17" s="23" t="s">
        <v>410</v>
      </c>
      <c r="D17" s="23" t="s">
        <v>411</v>
      </c>
      <c r="E17" s="24" t="s">
        <v>412</v>
      </c>
    </row>
    <row r="18" customFormat="false" ht="23.85" hidden="false" customHeight="false" outlineLevel="0" collapsed="false">
      <c r="A18" s="25" t="s">
        <v>392</v>
      </c>
      <c r="B18" s="25" t="s">
        <v>413</v>
      </c>
      <c r="C18" s="25"/>
      <c r="D18" s="25"/>
      <c r="E18" s="26" t="s">
        <v>414</v>
      </c>
    </row>
    <row r="21" customFormat="false" ht="15" hidden="false" customHeight="false" outlineLevel="0" collapsed="false">
      <c r="A21" s="22" t="s">
        <v>415</v>
      </c>
    </row>
    <row r="22" customFormat="false" ht="26.85" hidden="false" customHeight="false" outlineLevel="0" collapsed="false">
      <c r="A22" s="3" t="s">
        <v>416</v>
      </c>
      <c r="B22" s="3" t="s">
        <v>417</v>
      </c>
      <c r="C22" s="3" t="s">
        <v>418</v>
      </c>
      <c r="D22" s="3" t="s">
        <v>419</v>
      </c>
      <c r="E22" s="3" t="s">
        <v>420</v>
      </c>
    </row>
    <row r="23" customFormat="false" ht="15" hidden="false" customHeight="false" outlineLevel="0" collapsed="false">
      <c r="A23" s="23" t="s">
        <v>421</v>
      </c>
      <c r="B23" s="23" t="s">
        <v>422</v>
      </c>
      <c r="C23" s="23" t="s">
        <v>423</v>
      </c>
      <c r="D23" s="23" t="s">
        <v>424</v>
      </c>
      <c r="E23" s="23" t="s">
        <v>425</v>
      </c>
    </row>
    <row r="24" customFormat="false" ht="15" hidden="false" customHeight="false" outlineLevel="0" collapsed="false">
      <c r="A24" s="23" t="s">
        <v>426</v>
      </c>
      <c r="B24" s="23" t="s">
        <v>427</v>
      </c>
      <c r="C24" s="23" t="s">
        <v>428</v>
      </c>
      <c r="D24" s="23" t="s">
        <v>429</v>
      </c>
      <c r="E24" s="23" t="s">
        <v>430</v>
      </c>
    </row>
    <row r="25" customFormat="false" ht="15" hidden="false" customHeight="false" outlineLevel="0" collapsed="false">
      <c r="A25" s="23" t="s">
        <v>431</v>
      </c>
      <c r="B25" s="23" t="s">
        <v>432</v>
      </c>
      <c r="C25" s="23" t="s">
        <v>433</v>
      </c>
      <c r="D25" s="23" t="s">
        <v>434</v>
      </c>
      <c r="E25" s="23" t="s">
        <v>435</v>
      </c>
    </row>
    <row r="26" customFormat="false" ht="15" hidden="false" customHeight="false" outlineLevel="0" collapsed="false">
      <c r="A26" s="23" t="s">
        <v>436</v>
      </c>
      <c r="B26" s="23" t="s">
        <v>437</v>
      </c>
      <c r="C26" s="23" t="s">
        <v>438</v>
      </c>
      <c r="D26" s="23" t="s">
        <v>439</v>
      </c>
      <c r="E26" s="23" t="s">
        <v>405</v>
      </c>
    </row>
    <row r="27" customFormat="false" ht="15" hidden="false" customHeight="false" outlineLevel="0" collapsed="false">
      <c r="A27" s="23" t="s">
        <v>440</v>
      </c>
      <c r="B27" s="23" t="s">
        <v>441</v>
      </c>
      <c r="C27" s="23" t="s">
        <v>442</v>
      </c>
      <c r="D27" s="23" t="s">
        <v>443</v>
      </c>
      <c r="E27" s="23" t="s">
        <v>444</v>
      </c>
    </row>
    <row r="28" customFormat="false" ht="15" hidden="false" customHeight="false" outlineLevel="0" collapsed="false">
      <c r="A28" s="23" t="s">
        <v>445</v>
      </c>
      <c r="B28" s="23" t="s">
        <v>446</v>
      </c>
      <c r="C28" s="23" t="s">
        <v>422</v>
      </c>
      <c r="D28" s="23" t="s">
        <v>447</v>
      </c>
      <c r="E28" s="23" t="s">
        <v>448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8E3C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27" t="s">
        <v>449</v>
      </c>
      <c r="B1" s="27"/>
      <c r="C1" s="27"/>
      <c r="D1" s="27"/>
      <c r="E1" s="27"/>
      <c r="F1" s="27"/>
      <c r="G1" s="27"/>
    </row>
    <row r="3" customFormat="false" ht="15" hidden="false" customHeight="false" outlineLevel="0" collapsed="false">
      <c r="A3" s="3" t="s">
        <v>450</v>
      </c>
      <c r="B3" s="3" t="s">
        <v>451</v>
      </c>
      <c r="C3" s="3" t="s">
        <v>452</v>
      </c>
      <c r="D3" s="3" t="s">
        <v>453</v>
      </c>
      <c r="E3" s="3" t="s">
        <v>426</v>
      </c>
      <c r="F3" s="3" t="s">
        <v>454</v>
      </c>
      <c r="G3" s="3" t="s">
        <v>455</v>
      </c>
    </row>
    <row r="4" customFormat="false" ht="35.05" hidden="false" customHeight="false" outlineLevel="0" collapsed="false">
      <c r="A4" s="23" t="s">
        <v>456</v>
      </c>
      <c r="B4" s="23" t="s">
        <v>457</v>
      </c>
      <c r="C4" s="28" t="n">
        <v>210000</v>
      </c>
      <c r="D4" s="28" t="n">
        <v>30000</v>
      </c>
      <c r="E4" s="28" t="n">
        <v>40000</v>
      </c>
      <c r="F4" s="28" t="n">
        <v>140000</v>
      </c>
      <c r="G4" s="24" t="s">
        <v>458</v>
      </c>
    </row>
    <row r="5" customFormat="false" ht="46.25" hidden="false" customHeight="false" outlineLevel="0" collapsed="false">
      <c r="A5" s="23" t="s">
        <v>459</v>
      </c>
      <c r="B5" s="23" t="s">
        <v>460</v>
      </c>
      <c r="C5" s="28" t="n">
        <v>150000</v>
      </c>
      <c r="D5" s="28" t="n">
        <v>40000</v>
      </c>
      <c r="E5" s="28" t="n">
        <v>60000</v>
      </c>
      <c r="F5" s="28" t="n">
        <v>50000</v>
      </c>
      <c r="G5" s="24" t="s">
        <v>461</v>
      </c>
    </row>
    <row r="6" customFormat="false" ht="23.85" hidden="false" customHeight="false" outlineLevel="0" collapsed="false">
      <c r="A6" s="23" t="s">
        <v>462</v>
      </c>
      <c r="B6" s="23" t="s">
        <v>463</v>
      </c>
      <c r="C6" s="28" t="n">
        <v>90000</v>
      </c>
      <c r="D6" s="28" t="n">
        <v>60000</v>
      </c>
      <c r="E6" s="28" t="n">
        <v>15000</v>
      </c>
      <c r="F6" s="28" t="n">
        <v>15000</v>
      </c>
      <c r="G6" s="24" t="s">
        <v>464</v>
      </c>
    </row>
    <row r="7" customFormat="false" ht="46.25" hidden="false" customHeight="false" outlineLevel="0" collapsed="false">
      <c r="A7" s="23" t="s">
        <v>465</v>
      </c>
      <c r="B7" s="23" t="s">
        <v>463</v>
      </c>
      <c r="C7" s="28" t="n">
        <v>90000</v>
      </c>
      <c r="D7" s="28" t="n">
        <v>15000</v>
      </c>
      <c r="E7" s="28" t="n">
        <v>25000</v>
      </c>
      <c r="F7" s="28" t="n">
        <v>50000</v>
      </c>
      <c r="G7" s="24" t="s">
        <v>466</v>
      </c>
    </row>
    <row r="8" customFormat="false" ht="46.25" hidden="false" customHeight="false" outlineLevel="0" collapsed="false">
      <c r="A8" s="23" t="s">
        <v>467</v>
      </c>
      <c r="B8" s="23" t="s">
        <v>468</v>
      </c>
      <c r="C8" s="28" t="n">
        <v>60000</v>
      </c>
      <c r="D8" s="28" t="n">
        <v>10000</v>
      </c>
      <c r="E8" s="28" t="n">
        <v>20000</v>
      </c>
      <c r="F8" s="28" t="n">
        <v>30000</v>
      </c>
      <c r="G8" s="24" t="s">
        <v>469</v>
      </c>
    </row>
    <row r="9" customFormat="false" ht="15" hidden="false" customHeight="false" outlineLevel="0" collapsed="false">
      <c r="A9" s="25" t="s">
        <v>392</v>
      </c>
      <c r="B9" s="25" t="s">
        <v>470</v>
      </c>
      <c r="C9" s="29" t="n">
        <f aca="false">SUM(C4:C8)</f>
        <v>600000</v>
      </c>
      <c r="D9" s="29" t="n">
        <f aca="false">SUM(D4:D8)</f>
        <v>155000</v>
      </c>
      <c r="E9" s="29" t="n">
        <f aca="false">SUM(E4:E8)</f>
        <v>160000</v>
      </c>
      <c r="F9" s="29" t="n">
        <f aca="false">SUM(F4:F8)</f>
        <v>285000</v>
      </c>
      <c r="G9" s="2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2026-02-14T09:23:33Z</dcterms:created>
  <dc:creator>openpyxl</dc:creator>
  <dc:description/>
  <dc:language>en-US</dc:language>
  <cp:lastModifiedBy/>
  <dcterms:modified xsi:type="dcterms:W3CDTF">2026-02-14T09:23:33Z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